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miller/Desktop/Mesirow/OMreader/templates/"/>
    </mc:Choice>
  </mc:AlternateContent>
  <xr:revisionPtr revIDLastSave="0" documentId="8_{794E917A-403A-7244-B950-D902F907E379}" xr6:coauthVersionLast="47" xr6:coauthVersionMax="47" xr10:uidLastSave="{00000000-0000-0000-0000-000000000000}"/>
  <bookViews>
    <workbookView xWindow="-37360" yWindow="500" windowWidth="37360" windowHeight="21100" activeTab="1" xr2:uid="{401FEA37-EBEB-4370-B91A-5CF478EDB23C}"/>
  </bookViews>
  <sheets>
    <sheet name="Validation Lists | Graph Values" sheetId="4" state="hidden" r:id="rId1"/>
    <sheet name="QuickVal Proforma" sheetId="1" r:id="rId2"/>
    <sheet name="T12 Clean" sheetId="3" r:id="rId3"/>
    <sheet name="T12 Intake" sheetId="2" r:id="rId4"/>
  </sheets>
  <definedNames>
    <definedName name="aff">'QuickVal Proforma'!#REF!</definedName>
    <definedName name="_xlnm.Print_Area" localSheetId="1">'QuickVal Proforma'!$B$2:$S$64</definedName>
    <definedName name="_xlnm.Print_Area" localSheetId="2">'T12 Clean'!$A$1:$R$58</definedName>
    <definedName name="Units">'QuickVal Proforma'!$C$12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60" i="1" l="1"/>
  <c r="X57" i="1"/>
  <c r="X56" i="1"/>
  <c r="O1" i="3"/>
  <c r="P9" i="1"/>
  <c r="S9" i="1" s="1"/>
  <c r="X37" i="1"/>
  <c r="Y37" i="1" s="1"/>
  <c r="Z37" i="1" s="1"/>
  <c r="AA37" i="1" s="1"/>
  <c r="AB37" i="1" s="1"/>
  <c r="AC37" i="1" s="1"/>
  <c r="AD37" i="1" s="1"/>
  <c r="AE37" i="1" s="1"/>
  <c r="AF37" i="1" s="1"/>
  <c r="C10" i="1"/>
  <c r="B3" i="1"/>
  <c r="C44" i="1" l="1"/>
  <c r="G6" i="4"/>
  <c r="F6" i="4"/>
  <c r="F5" i="4"/>
  <c r="F4" i="4"/>
  <c r="F3" i="4"/>
  <c r="F2" i="4"/>
  <c r="V50" i="1" l="1"/>
  <c r="M15" i="1" l="1"/>
  <c r="B23" i="1" l="1"/>
  <c r="R28" i="1"/>
  <c r="AB23" i="1"/>
  <c r="W43" i="1"/>
  <c r="X43" i="1" s="1"/>
  <c r="Y43" i="1" s="1"/>
  <c r="Z43" i="1" s="1"/>
  <c r="AA43" i="1" s="1"/>
  <c r="AB43" i="1" s="1"/>
  <c r="AC43" i="1" s="1"/>
  <c r="AD43" i="1" s="1"/>
  <c r="AE43" i="1" s="1"/>
  <c r="X53" i="1"/>
  <c r="W53" i="1"/>
  <c r="V53" i="1"/>
  <c r="B2" i="1" l="1"/>
  <c r="AB22" i="1" l="1"/>
  <c r="W38" i="1"/>
  <c r="W35" i="1"/>
  <c r="X34" i="1"/>
  <c r="Y34" i="1" s="1"/>
  <c r="Z34" i="1" s="1"/>
  <c r="AA34" i="1" s="1"/>
  <c r="AB34" i="1" s="1"/>
  <c r="AC34" i="1" s="1"/>
  <c r="AD34" i="1" s="1"/>
  <c r="AE34" i="1" s="1"/>
  <c r="AF34" i="1" s="1"/>
  <c r="W32" i="1"/>
  <c r="X32" i="1" s="1"/>
  <c r="Y32" i="1" s="1"/>
  <c r="Z32" i="1" s="1"/>
  <c r="AA32" i="1" s="1"/>
  <c r="AB32" i="1" s="1"/>
  <c r="AC32" i="1" s="1"/>
  <c r="AD32" i="1" s="1"/>
  <c r="AE32" i="1" s="1"/>
  <c r="AF32" i="1" s="1"/>
  <c r="Y30" i="1"/>
  <c r="Z30" i="1" s="1"/>
  <c r="V31" i="1"/>
  <c r="V33" i="1" s="1"/>
  <c r="V36" i="1" s="1"/>
  <c r="V39" i="1" s="1"/>
  <c r="V41" i="1" s="1"/>
  <c r="X28" i="1"/>
  <c r="Y28" i="1" s="1"/>
  <c r="Z28" i="1" s="1"/>
  <c r="AA28" i="1" s="1"/>
  <c r="AB28" i="1" s="1"/>
  <c r="AC28" i="1" s="1"/>
  <c r="AD28" i="1" s="1"/>
  <c r="AE28" i="1" s="1"/>
  <c r="AF28" i="1" s="1"/>
  <c r="W40" i="1"/>
  <c r="W27" i="1"/>
  <c r="X27" i="1" s="1"/>
  <c r="Y27" i="1" s="1"/>
  <c r="Z27" i="1" s="1"/>
  <c r="AA27" i="1" s="1"/>
  <c r="AB27" i="1" s="1"/>
  <c r="AC27" i="1" s="1"/>
  <c r="V24" i="1"/>
  <c r="C43" i="1"/>
  <c r="W15" i="1"/>
  <c r="X14" i="1"/>
  <c r="X13" i="1"/>
  <c r="X12" i="1"/>
  <c r="X11" i="1"/>
  <c r="X10" i="1"/>
  <c r="X9" i="1"/>
  <c r="X8" i="1"/>
  <c r="X7" i="1"/>
  <c r="X6" i="1"/>
  <c r="X5" i="1"/>
  <c r="C57" i="1"/>
  <c r="C52" i="1"/>
  <c r="C47" i="1"/>
  <c r="Y50" i="1" l="1"/>
  <c r="Y51" i="1" s="1"/>
  <c r="V25" i="1"/>
  <c r="V45" i="1" s="1"/>
  <c r="V44" i="1"/>
  <c r="W44" i="1" s="1"/>
  <c r="X44" i="1" s="1"/>
  <c r="Y44" i="1" s="1"/>
  <c r="Z44" i="1" s="1"/>
  <c r="AA44" i="1" s="1"/>
  <c r="AB44" i="1" s="1"/>
  <c r="AC44" i="1" s="1"/>
  <c r="AD44" i="1" s="1"/>
  <c r="AE44" i="1" s="1"/>
  <c r="AD27" i="1"/>
  <c r="X35" i="1"/>
  <c r="W31" i="1"/>
  <c r="W33" i="1" s="1"/>
  <c r="W36" i="1" s="1"/>
  <c r="W39" i="1" s="1"/>
  <c r="W41" i="1" s="1"/>
  <c r="Y35" i="1"/>
  <c r="Z35" i="1" s="1"/>
  <c r="AA35" i="1" s="1"/>
  <c r="AB35" i="1" s="1"/>
  <c r="AC35" i="1" s="1"/>
  <c r="AD35" i="1" s="1"/>
  <c r="AE35" i="1" s="1"/>
  <c r="AF35" i="1" s="1"/>
  <c r="X29" i="1"/>
  <c r="Y29" i="1" s="1"/>
  <c r="Z29" i="1" s="1"/>
  <c r="AA29" i="1" s="1"/>
  <c r="AB29" i="1" s="1"/>
  <c r="AC29" i="1" s="1"/>
  <c r="X38" i="1"/>
  <c r="Y38" i="1" s="1"/>
  <c r="AA30" i="1"/>
  <c r="X40" i="1"/>
  <c r="X15" i="1"/>
  <c r="X16" i="1" s="1"/>
  <c r="X17" i="1" s="1"/>
  <c r="Y52" i="1" l="1"/>
  <c r="W56" i="1" s="1"/>
  <c r="W42" i="1"/>
  <c r="V46" i="1"/>
  <c r="AD29" i="1"/>
  <c r="AE27" i="1"/>
  <c r="W45" i="1"/>
  <c r="Z38" i="1"/>
  <c r="AA38" i="1" s="1"/>
  <c r="Z31" i="1"/>
  <c r="Z33" i="1" s="1"/>
  <c r="Z36" i="1" s="1"/>
  <c r="AA31" i="1"/>
  <c r="AA33" i="1" s="1"/>
  <c r="AA36" i="1" s="1"/>
  <c r="AB30" i="1"/>
  <c r="Y31" i="1"/>
  <c r="Y33" i="1" s="1"/>
  <c r="Y36" i="1" s="1"/>
  <c r="Y39" i="1" s="1"/>
  <c r="X31" i="1"/>
  <c r="X33" i="1" s="1"/>
  <c r="X36" i="1" s="1"/>
  <c r="X39" i="1" s="1"/>
  <c r="X41" i="1" s="1"/>
  <c r="Y40" i="1"/>
  <c r="X18" i="1"/>
  <c r="X19" i="1" s="1"/>
  <c r="Y53" i="1" l="1"/>
  <c r="W59" i="1"/>
  <c r="W60" i="1" s="1"/>
  <c r="C27" i="1" s="1"/>
  <c r="Z39" i="1"/>
  <c r="X45" i="1"/>
  <c r="W46" i="1"/>
  <c r="W47" i="1" s="1"/>
  <c r="AE29" i="1"/>
  <c r="AF27" i="1"/>
  <c r="AB31" i="1"/>
  <c r="AB33" i="1" s="1"/>
  <c r="AB36" i="1" s="1"/>
  <c r="AC30" i="1"/>
  <c r="X42" i="1"/>
  <c r="Y22" i="1"/>
  <c r="Y25" i="1" s="1"/>
  <c r="J40" i="1" s="1"/>
  <c r="AA39" i="1"/>
  <c r="AB38" i="1"/>
  <c r="Z40" i="1"/>
  <c r="Y41" i="1"/>
  <c r="Y42" i="1" s="1"/>
  <c r="AF29" i="1" l="1"/>
  <c r="AD30" i="1"/>
  <c r="AC31" i="1"/>
  <c r="AC33" i="1" s="1"/>
  <c r="AC36" i="1" s="1"/>
  <c r="AB39" i="1"/>
  <c r="AC38" i="1"/>
  <c r="AD38" i="1" s="1"/>
  <c r="AE38" i="1" s="1"/>
  <c r="AF38" i="1" s="1"/>
  <c r="Y45" i="1"/>
  <c r="X46" i="1"/>
  <c r="X47" i="1" s="1"/>
  <c r="AA40" i="1"/>
  <c r="Z41" i="1"/>
  <c r="Z42" i="1" s="1"/>
  <c r="Z45" i="1" l="1"/>
  <c r="Y46" i="1"/>
  <c r="Y47" i="1" s="1"/>
  <c r="AC39" i="1"/>
  <c r="AE30" i="1"/>
  <c r="AD31" i="1"/>
  <c r="AD33" i="1" s="1"/>
  <c r="AD36" i="1" s="1"/>
  <c r="AD39" i="1" s="1"/>
  <c r="AA41" i="1"/>
  <c r="AA42" i="1" s="1"/>
  <c r="AB40" i="1"/>
  <c r="AB41" i="1" l="1"/>
  <c r="AB42" i="1" s="1"/>
  <c r="AC40" i="1"/>
  <c r="AD40" i="1" s="1"/>
  <c r="AE40" i="1" s="1"/>
  <c r="AF40" i="1" s="1"/>
  <c r="AF30" i="1"/>
  <c r="AF31" i="1" s="1"/>
  <c r="AF33" i="1" s="1"/>
  <c r="AF36" i="1" s="1"/>
  <c r="AF39" i="1" s="1"/>
  <c r="AE31" i="1"/>
  <c r="AE33" i="1" s="1"/>
  <c r="AE36" i="1" s="1"/>
  <c r="AE39" i="1" s="1"/>
  <c r="AC41" i="1"/>
  <c r="AA45" i="1"/>
  <c r="Z46" i="1"/>
  <c r="Z47" i="1" s="1"/>
  <c r="M38" i="1"/>
  <c r="P38" i="1" s="1"/>
  <c r="S38" i="1" s="1"/>
  <c r="AE41" i="1" l="1"/>
  <c r="AC42" i="1"/>
  <c r="AF41" i="1"/>
  <c r="AB45" i="1"/>
  <c r="AA46" i="1"/>
  <c r="AA47" i="1" s="1"/>
  <c r="AD41" i="1"/>
  <c r="AD42" i="1" s="1"/>
  <c r="P15" i="1"/>
  <c r="S15" i="1" s="1"/>
  <c r="P12" i="1"/>
  <c r="S12" i="1" s="1"/>
  <c r="P11" i="1"/>
  <c r="S11" i="1" s="1"/>
  <c r="P14" i="1"/>
  <c r="S14" i="1" s="1"/>
  <c r="F6" i="1"/>
  <c r="F28" i="1" s="1"/>
  <c r="G28" i="1"/>
  <c r="AF42" i="1" l="1"/>
  <c r="AC45" i="1"/>
  <c r="AB46" i="1"/>
  <c r="AB47" i="1" s="1"/>
  <c r="AE42" i="1"/>
  <c r="I47" i="1"/>
  <c r="L47" i="1" s="1"/>
  <c r="M47" i="1" s="1"/>
  <c r="P47" i="1" s="1"/>
  <c r="M28" i="1"/>
  <c r="O47" i="1" l="1"/>
  <c r="S47" i="1"/>
  <c r="R47" i="1" s="1"/>
  <c r="AD45" i="1"/>
  <c r="AC46" i="1"/>
  <c r="AC47" i="1" s="1"/>
  <c r="P13" i="1"/>
  <c r="S13" i="1" s="1"/>
  <c r="AE45" i="1" l="1"/>
  <c r="AE46" i="1" s="1"/>
  <c r="R40" i="1" s="1"/>
  <c r="AD46" i="1"/>
  <c r="AD47" i="1" s="1"/>
  <c r="J28" i="1"/>
  <c r="C13" i="1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O49" i="3"/>
  <c r="N49" i="3"/>
  <c r="M49" i="3"/>
  <c r="L49" i="3"/>
  <c r="L53" i="3" s="1"/>
  <c r="K49" i="3"/>
  <c r="J49" i="3"/>
  <c r="I49" i="3"/>
  <c r="H49" i="3"/>
  <c r="H53" i="3" s="1"/>
  <c r="G49" i="3"/>
  <c r="F49" i="3"/>
  <c r="E49" i="3"/>
  <c r="D49" i="3"/>
  <c r="D53" i="3" s="1"/>
  <c r="C49" i="3"/>
  <c r="R26" i="3"/>
  <c r="Q26" i="3"/>
  <c r="P26" i="3"/>
  <c r="O26" i="3"/>
  <c r="O36" i="3"/>
  <c r="F38" i="1" s="1"/>
  <c r="N36" i="3"/>
  <c r="R36" i="3" s="1"/>
  <c r="M36" i="3"/>
  <c r="L36" i="3"/>
  <c r="K36" i="3"/>
  <c r="J36" i="3"/>
  <c r="I36" i="3"/>
  <c r="H36" i="3"/>
  <c r="G36" i="3"/>
  <c r="F36" i="3"/>
  <c r="E36" i="3"/>
  <c r="D36" i="3"/>
  <c r="O37" i="3"/>
  <c r="F39" i="1" s="1"/>
  <c r="G39" i="1" s="1"/>
  <c r="N37" i="3"/>
  <c r="R37" i="3" s="1"/>
  <c r="M37" i="3"/>
  <c r="L37" i="3"/>
  <c r="K37" i="3"/>
  <c r="J37" i="3"/>
  <c r="I37" i="3"/>
  <c r="H37" i="3"/>
  <c r="G37" i="3"/>
  <c r="F37" i="3"/>
  <c r="E37" i="3"/>
  <c r="D37" i="3"/>
  <c r="C37" i="3"/>
  <c r="C36" i="3"/>
  <c r="O45" i="3"/>
  <c r="F47" i="1" s="1"/>
  <c r="G47" i="1" s="1"/>
  <c r="N45" i="3"/>
  <c r="R45" i="3" s="1"/>
  <c r="M45" i="3"/>
  <c r="L45" i="3"/>
  <c r="Q45" i="3" s="1"/>
  <c r="K45" i="3"/>
  <c r="J45" i="3"/>
  <c r="I45" i="3"/>
  <c r="H45" i="3"/>
  <c r="G45" i="3"/>
  <c r="F45" i="3"/>
  <c r="E45" i="3"/>
  <c r="D45" i="3"/>
  <c r="C45" i="3"/>
  <c r="O41" i="3"/>
  <c r="F43" i="1" s="1"/>
  <c r="G43" i="1" s="1"/>
  <c r="J43" i="1" s="1"/>
  <c r="N41" i="3"/>
  <c r="R41" i="3" s="1"/>
  <c r="M41" i="3"/>
  <c r="L41" i="3"/>
  <c r="K41" i="3"/>
  <c r="J41" i="3"/>
  <c r="I41" i="3"/>
  <c r="H41" i="3"/>
  <c r="G41" i="3"/>
  <c r="F41" i="3"/>
  <c r="E41" i="3"/>
  <c r="D41" i="3"/>
  <c r="C41" i="3"/>
  <c r="O39" i="3"/>
  <c r="N39" i="3"/>
  <c r="R39" i="3" s="1"/>
  <c r="M39" i="3"/>
  <c r="L39" i="3"/>
  <c r="K39" i="3"/>
  <c r="J39" i="3"/>
  <c r="I39" i="3"/>
  <c r="H39" i="3"/>
  <c r="G39" i="3"/>
  <c r="F39" i="3"/>
  <c r="E39" i="3"/>
  <c r="D39" i="3"/>
  <c r="C39" i="3"/>
  <c r="O38" i="3"/>
  <c r="N38" i="3"/>
  <c r="R38" i="3" s="1"/>
  <c r="M38" i="3"/>
  <c r="L38" i="3"/>
  <c r="Q38" i="3" s="1"/>
  <c r="K38" i="3"/>
  <c r="J38" i="3"/>
  <c r="I38" i="3"/>
  <c r="H38" i="3"/>
  <c r="G38" i="3"/>
  <c r="F38" i="3"/>
  <c r="E38" i="3"/>
  <c r="D38" i="3"/>
  <c r="C38" i="3"/>
  <c r="O35" i="3"/>
  <c r="F37" i="1" s="1"/>
  <c r="N35" i="3"/>
  <c r="M35" i="3"/>
  <c r="M40" i="3" s="1"/>
  <c r="L35" i="3"/>
  <c r="L40" i="3" s="1"/>
  <c r="K35" i="3"/>
  <c r="J35" i="3"/>
  <c r="I35" i="3"/>
  <c r="H35" i="3"/>
  <c r="G35" i="3"/>
  <c r="F35" i="3"/>
  <c r="E35" i="3"/>
  <c r="E40" i="3" s="1"/>
  <c r="D35" i="3"/>
  <c r="D40" i="3" s="1"/>
  <c r="C35" i="3"/>
  <c r="O32" i="3"/>
  <c r="F34" i="1" s="1"/>
  <c r="V18" i="1" s="1"/>
  <c r="V19" i="1" s="1"/>
  <c r="J34" i="1" s="1"/>
  <c r="I34" i="1" s="1"/>
  <c r="L34" i="1" s="1"/>
  <c r="M34" i="1" s="1"/>
  <c r="N32" i="3"/>
  <c r="R32" i="3" s="1"/>
  <c r="M32" i="3"/>
  <c r="L32" i="3"/>
  <c r="K32" i="3"/>
  <c r="J32" i="3"/>
  <c r="I32" i="3"/>
  <c r="P32" i="3" s="1"/>
  <c r="H32" i="3"/>
  <c r="G32" i="3"/>
  <c r="F32" i="3"/>
  <c r="E32" i="3"/>
  <c r="D32" i="3"/>
  <c r="C32" i="3"/>
  <c r="O31" i="3"/>
  <c r="F33" i="1" s="1"/>
  <c r="N31" i="3"/>
  <c r="R31" i="3" s="1"/>
  <c r="M31" i="3"/>
  <c r="L31" i="3"/>
  <c r="K31" i="3"/>
  <c r="J31" i="3"/>
  <c r="I31" i="3"/>
  <c r="H31" i="3"/>
  <c r="G31" i="3"/>
  <c r="F31" i="3"/>
  <c r="E31" i="3"/>
  <c r="D31" i="3"/>
  <c r="C31" i="3"/>
  <c r="O30" i="3"/>
  <c r="F32" i="1" s="1"/>
  <c r="N30" i="3"/>
  <c r="R30" i="3" s="1"/>
  <c r="M30" i="3"/>
  <c r="L30" i="3"/>
  <c r="K30" i="3"/>
  <c r="J30" i="3"/>
  <c r="I30" i="3"/>
  <c r="H30" i="3"/>
  <c r="G30" i="3"/>
  <c r="F30" i="3"/>
  <c r="E30" i="3"/>
  <c r="D30" i="3"/>
  <c r="C30" i="3"/>
  <c r="O29" i="3"/>
  <c r="F31" i="1" s="1"/>
  <c r="N29" i="3"/>
  <c r="M29" i="3"/>
  <c r="L29" i="3"/>
  <c r="Q29" i="3" s="1"/>
  <c r="K29" i="3"/>
  <c r="J29" i="3"/>
  <c r="I29" i="3"/>
  <c r="H29" i="3"/>
  <c r="G29" i="3"/>
  <c r="F29" i="3"/>
  <c r="E29" i="3"/>
  <c r="D29" i="3"/>
  <c r="C29" i="3"/>
  <c r="O28" i="3"/>
  <c r="F30" i="1" s="1"/>
  <c r="N28" i="3"/>
  <c r="R28" i="3" s="1"/>
  <c r="M28" i="3"/>
  <c r="L28" i="3"/>
  <c r="K28" i="3"/>
  <c r="J28" i="3"/>
  <c r="I28" i="3"/>
  <c r="H28" i="3"/>
  <c r="G28" i="3"/>
  <c r="F28" i="3"/>
  <c r="E28" i="3"/>
  <c r="D28" i="3"/>
  <c r="C28" i="3"/>
  <c r="O27" i="3"/>
  <c r="F29" i="1" s="1"/>
  <c r="N27" i="3"/>
  <c r="R27" i="3" s="1"/>
  <c r="M27" i="3"/>
  <c r="L27" i="3"/>
  <c r="K27" i="3"/>
  <c r="J27" i="3"/>
  <c r="J33" i="3" s="1"/>
  <c r="I27" i="3"/>
  <c r="H27" i="3"/>
  <c r="G27" i="3"/>
  <c r="F27" i="3"/>
  <c r="E27" i="3"/>
  <c r="D27" i="3"/>
  <c r="C27" i="3"/>
  <c r="O23" i="3"/>
  <c r="F25" i="1" s="1"/>
  <c r="N23" i="3"/>
  <c r="R23" i="3" s="1"/>
  <c r="M23" i="3"/>
  <c r="L23" i="3"/>
  <c r="K23" i="3"/>
  <c r="J23" i="3"/>
  <c r="I23" i="3"/>
  <c r="H23" i="3"/>
  <c r="G23" i="3"/>
  <c r="F23" i="3"/>
  <c r="E23" i="3"/>
  <c r="D23" i="3"/>
  <c r="C23" i="3"/>
  <c r="O21" i="3"/>
  <c r="F23" i="1" s="1"/>
  <c r="N21" i="3"/>
  <c r="R21" i="3" s="1"/>
  <c r="M21" i="3"/>
  <c r="L21" i="3"/>
  <c r="Q21" i="3" s="1"/>
  <c r="K21" i="3"/>
  <c r="J21" i="3"/>
  <c r="I21" i="3"/>
  <c r="H21" i="3"/>
  <c r="G21" i="3"/>
  <c r="F21" i="3"/>
  <c r="E21" i="3"/>
  <c r="D21" i="3"/>
  <c r="C21" i="3"/>
  <c r="O20" i="3"/>
  <c r="F22" i="1" s="1"/>
  <c r="N20" i="3"/>
  <c r="R20" i="3" s="1"/>
  <c r="M20" i="3"/>
  <c r="L20" i="3"/>
  <c r="K20" i="3"/>
  <c r="J20" i="3"/>
  <c r="I20" i="3"/>
  <c r="P20" i="3" s="1"/>
  <c r="H20" i="3"/>
  <c r="G20" i="3"/>
  <c r="F20" i="3"/>
  <c r="E20" i="3"/>
  <c r="D20" i="3"/>
  <c r="C20" i="3"/>
  <c r="O19" i="3"/>
  <c r="F21" i="1" s="1"/>
  <c r="N19" i="3"/>
  <c r="R19" i="3" s="1"/>
  <c r="M19" i="3"/>
  <c r="L19" i="3"/>
  <c r="K19" i="3"/>
  <c r="J19" i="3"/>
  <c r="I19" i="3"/>
  <c r="H19" i="3"/>
  <c r="G19" i="3"/>
  <c r="F19" i="3"/>
  <c r="E19" i="3"/>
  <c r="D19" i="3"/>
  <c r="C19" i="3"/>
  <c r="O18" i="3"/>
  <c r="F20" i="1" s="1"/>
  <c r="N18" i="3"/>
  <c r="R18" i="3" s="1"/>
  <c r="M18" i="3"/>
  <c r="L18" i="3"/>
  <c r="K18" i="3"/>
  <c r="J18" i="3"/>
  <c r="I18" i="3"/>
  <c r="H18" i="3"/>
  <c r="G18" i="3"/>
  <c r="F18" i="3"/>
  <c r="E18" i="3"/>
  <c r="D18" i="3"/>
  <c r="C18" i="3"/>
  <c r="O17" i="3"/>
  <c r="F19" i="1" s="1"/>
  <c r="N17" i="3"/>
  <c r="R17" i="3" s="1"/>
  <c r="M17" i="3"/>
  <c r="L17" i="3"/>
  <c r="Q17" i="3" s="1"/>
  <c r="K17" i="3"/>
  <c r="J17" i="3"/>
  <c r="I17" i="3"/>
  <c r="H17" i="3"/>
  <c r="G17" i="3"/>
  <c r="F17" i="3"/>
  <c r="E17" i="3"/>
  <c r="D17" i="3"/>
  <c r="C17" i="3"/>
  <c r="O16" i="3"/>
  <c r="F18" i="1" s="1"/>
  <c r="C59" i="1" s="1"/>
  <c r="O18" i="1" s="1"/>
  <c r="N16" i="3"/>
  <c r="R16" i="3" s="1"/>
  <c r="M16" i="3"/>
  <c r="M22" i="3" s="1"/>
  <c r="L16" i="3"/>
  <c r="K16" i="3"/>
  <c r="J16" i="3"/>
  <c r="I16" i="3"/>
  <c r="H16" i="3"/>
  <c r="G16" i="3"/>
  <c r="F16" i="3"/>
  <c r="E16" i="3"/>
  <c r="E22" i="3" s="1"/>
  <c r="D16" i="3"/>
  <c r="C16" i="3"/>
  <c r="O9" i="3"/>
  <c r="O13" i="3"/>
  <c r="N13" i="3"/>
  <c r="R13" i="3" s="1"/>
  <c r="M13" i="3"/>
  <c r="L13" i="3"/>
  <c r="K13" i="3"/>
  <c r="J13" i="3"/>
  <c r="I13" i="3"/>
  <c r="H13" i="3"/>
  <c r="G13" i="3"/>
  <c r="F13" i="3"/>
  <c r="E13" i="3"/>
  <c r="D13" i="3"/>
  <c r="C13" i="3"/>
  <c r="O12" i="3"/>
  <c r="N12" i="3"/>
  <c r="R12" i="3" s="1"/>
  <c r="M12" i="3"/>
  <c r="L12" i="3"/>
  <c r="Q12" i="3" s="1"/>
  <c r="F14" i="1" s="1"/>
  <c r="K12" i="3"/>
  <c r="J12" i="3"/>
  <c r="I12" i="3"/>
  <c r="H12" i="3"/>
  <c r="G12" i="3"/>
  <c r="F12" i="3"/>
  <c r="E12" i="3"/>
  <c r="D12" i="3"/>
  <c r="C12" i="3"/>
  <c r="O11" i="3"/>
  <c r="N11" i="3"/>
  <c r="R11" i="3" s="1"/>
  <c r="M11" i="3"/>
  <c r="L11" i="3"/>
  <c r="K11" i="3"/>
  <c r="J11" i="3"/>
  <c r="I11" i="3"/>
  <c r="H11" i="3"/>
  <c r="G11" i="3"/>
  <c r="F11" i="3"/>
  <c r="E11" i="3"/>
  <c r="D11" i="3"/>
  <c r="C11" i="3"/>
  <c r="O10" i="3"/>
  <c r="N10" i="3"/>
  <c r="R10" i="3" s="1"/>
  <c r="M10" i="3"/>
  <c r="L10" i="3"/>
  <c r="K10" i="3"/>
  <c r="J10" i="3"/>
  <c r="I10" i="3"/>
  <c r="H10" i="3"/>
  <c r="G10" i="3"/>
  <c r="F10" i="3"/>
  <c r="E10" i="3"/>
  <c r="D10" i="3"/>
  <c r="C10" i="3"/>
  <c r="N9" i="3"/>
  <c r="M9" i="3"/>
  <c r="L9" i="3"/>
  <c r="K9" i="3"/>
  <c r="J9" i="3"/>
  <c r="J2" i="3" s="1"/>
  <c r="I9" i="3"/>
  <c r="H9" i="3"/>
  <c r="G9" i="3"/>
  <c r="G2" i="3" s="1"/>
  <c r="F9" i="3"/>
  <c r="F2" i="3" s="1"/>
  <c r="E9" i="3"/>
  <c r="D9" i="3"/>
  <c r="C9" i="3"/>
  <c r="O7" i="3"/>
  <c r="O6" i="3"/>
  <c r="O5" i="3"/>
  <c r="N7" i="3"/>
  <c r="R7" i="3" s="1"/>
  <c r="M7" i="3"/>
  <c r="L7" i="3"/>
  <c r="K7" i="3"/>
  <c r="J7" i="3"/>
  <c r="I7" i="3"/>
  <c r="H7" i="3"/>
  <c r="G7" i="3"/>
  <c r="F7" i="3"/>
  <c r="E7" i="3"/>
  <c r="D7" i="3"/>
  <c r="C7" i="3"/>
  <c r="N6" i="3"/>
  <c r="R6" i="3" s="1"/>
  <c r="M6" i="3"/>
  <c r="L6" i="3"/>
  <c r="K6" i="3"/>
  <c r="J6" i="3"/>
  <c r="I6" i="3"/>
  <c r="P6" i="3" s="1"/>
  <c r="H6" i="3"/>
  <c r="G6" i="3"/>
  <c r="F6" i="3"/>
  <c r="E6" i="3"/>
  <c r="D6" i="3"/>
  <c r="D8" i="3" s="1"/>
  <c r="C6" i="3"/>
  <c r="N5" i="3"/>
  <c r="R5" i="3" s="1"/>
  <c r="R8" i="3" s="1"/>
  <c r="M5" i="3"/>
  <c r="M8" i="3" s="1"/>
  <c r="L5" i="3"/>
  <c r="K5" i="3"/>
  <c r="K8" i="3" s="1"/>
  <c r="J5" i="3"/>
  <c r="I5" i="3"/>
  <c r="H5" i="3"/>
  <c r="H8" i="3" s="1"/>
  <c r="G5" i="3"/>
  <c r="F5" i="3"/>
  <c r="F8" i="3" s="1"/>
  <c r="E5" i="3"/>
  <c r="E8" i="3" s="1"/>
  <c r="D5" i="3"/>
  <c r="C5" i="3"/>
  <c r="C8" i="3" s="1"/>
  <c r="N4" i="3"/>
  <c r="N26" i="3" s="1"/>
  <c r="C22" i="1" l="1"/>
  <c r="C28" i="1"/>
  <c r="P12" i="3"/>
  <c r="Q13" i="3"/>
  <c r="F15" i="1" s="1"/>
  <c r="I15" i="1" s="1"/>
  <c r="F22" i="3"/>
  <c r="P17" i="3"/>
  <c r="Q18" i="3"/>
  <c r="C33" i="3"/>
  <c r="K33" i="3"/>
  <c r="P29" i="3"/>
  <c r="Q30" i="3"/>
  <c r="P45" i="3"/>
  <c r="E53" i="3"/>
  <c r="M53" i="3"/>
  <c r="F14" i="3"/>
  <c r="F24" i="3" s="1"/>
  <c r="F1" i="3"/>
  <c r="J8" i="3"/>
  <c r="G8" i="3"/>
  <c r="H2" i="3"/>
  <c r="Q10" i="3"/>
  <c r="F12" i="1" s="1"/>
  <c r="I12" i="1" s="1"/>
  <c r="G22" i="3"/>
  <c r="P23" i="3"/>
  <c r="D33" i="3"/>
  <c r="L33" i="3"/>
  <c r="F40" i="3"/>
  <c r="N40" i="3"/>
  <c r="P38" i="3"/>
  <c r="Q39" i="3"/>
  <c r="Q37" i="3"/>
  <c r="F53" i="3"/>
  <c r="N53" i="3"/>
  <c r="E14" i="3"/>
  <c r="E24" i="3" s="1"/>
  <c r="E1" i="3"/>
  <c r="H14" i="3"/>
  <c r="H1" i="3"/>
  <c r="D14" i="3"/>
  <c r="D1" i="3"/>
  <c r="Q6" i="3"/>
  <c r="F8" i="1" s="1"/>
  <c r="G8" i="1" s="1"/>
  <c r="P9" i="3"/>
  <c r="I2" i="3"/>
  <c r="H22" i="3"/>
  <c r="P19" i="3"/>
  <c r="Q20" i="3"/>
  <c r="E33" i="3"/>
  <c r="E42" i="3" s="1"/>
  <c r="M33" i="3"/>
  <c r="M42" i="3" s="1"/>
  <c r="P31" i="3"/>
  <c r="Q32" i="3"/>
  <c r="G40" i="3"/>
  <c r="P36" i="3"/>
  <c r="G53" i="3"/>
  <c r="O53" i="3"/>
  <c r="P5" i="3"/>
  <c r="P8" i="3" s="1"/>
  <c r="P14" i="3" s="1"/>
  <c r="P28" i="3"/>
  <c r="P41" i="3"/>
  <c r="R9" i="3"/>
  <c r="N2" i="3"/>
  <c r="P7" i="3"/>
  <c r="C2" i="3"/>
  <c r="K2" i="3"/>
  <c r="O2" i="3"/>
  <c r="P21" i="3"/>
  <c r="Q23" i="3"/>
  <c r="G33" i="3"/>
  <c r="P35" i="3"/>
  <c r="P40" i="3" s="1"/>
  <c r="J39" i="1"/>
  <c r="I39" i="1" s="1"/>
  <c r="L39" i="1" s="1"/>
  <c r="M39" i="1" s="1"/>
  <c r="I53" i="3"/>
  <c r="C14" i="3"/>
  <c r="C24" i="3" s="1"/>
  <c r="K14" i="3"/>
  <c r="K1" i="3"/>
  <c r="D2" i="3"/>
  <c r="Q9" i="3"/>
  <c r="F11" i="1" s="1"/>
  <c r="I11" i="1" s="1"/>
  <c r="L2" i="3"/>
  <c r="P13" i="3"/>
  <c r="C22" i="3"/>
  <c r="K22" i="3"/>
  <c r="P18" i="3"/>
  <c r="Q19" i="3"/>
  <c r="J22" i="3"/>
  <c r="H33" i="3"/>
  <c r="H42" i="3" s="1"/>
  <c r="F33" i="3"/>
  <c r="F42" i="3" s="1"/>
  <c r="N33" i="3"/>
  <c r="N42" i="3" s="1"/>
  <c r="P30" i="3"/>
  <c r="Q31" i="3"/>
  <c r="J40" i="3"/>
  <c r="J42" i="3" s="1"/>
  <c r="H40" i="3"/>
  <c r="Q36" i="3"/>
  <c r="J53" i="3"/>
  <c r="P11" i="3"/>
  <c r="P16" i="3"/>
  <c r="Q5" i="3"/>
  <c r="F7" i="1" s="1"/>
  <c r="G7" i="1" s="1"/>
  <c r="Q7" i="3"/>
  <c r="Q8" i="3" s="1"/>
  <c r="Q14" i="3" s="1"/>
  <c r="Q24" i="3" s="1"/>
  <c r="E2" i="3"/>
  <c r="M2" i="3"/>
  <c r="P10" i="3"/>
  <c r="Q11" i="3"/>
  <c r="F13" i="1" s="1"/>
  <c r="G13" i="1" s="1"/>
  <c r="D22" i="3"/>
  <c r="Q16" i="3"/>
  <c r="P27" i="3"/>
  <c r="Q28" i="3"/>
  <c r="C40" i="3"/>
  <c r="K40" i="3"/>
  <c r="P39" i="3"/>
  <c r="Q41" i="3"/>
  <c r="P37" i="3"/>
  <c r="C53" i="3"/>
  <c r="K53" i="3"/>
  <c r="M14" i="3"/>
  <c r="M24" i="3" s="1"/>
  <c r="M44" i="3" s="1"/>
  <c r="M46" i="3" s="1"/>
  <c r="M55" i="3" s="1"/>
  <c r="M58" i="3" s="1"/>
  <c r="AE47" i="1"/>
  <c r="Q22" i="3"/>
  <c r="D42" i="3"/>
  <c r="L42" i="3"/>
  <c r="I14" i="1"/>
  <c r="R22" i="3"/>
  <c r="G42" i="3"/>
  <c r="P22" i="3"/>
  <c r="I7" i="1"/>
  <c r="J7" i="1" s="1"/>
  <c r="F9" i="1"/>
  <c r="P33" i="3"/>
  <c r="F41" i="1"/>
  <c r="G41" i="1" s="1"/>
  <c r="J41" i="1" s="1"/>
  <c r="I22" i="3"/>
  <c r="O40" i="3"/>
  <c r="Q35" i="3"/>
  <c r="R29" i="3"/>
  <c r="R33" i="3" s="1"/>
  <c r="L8" i="3"/>
  <c r="M1" i="3" s="1"/>
  <c r="G19" i="1"/>
  <c r="I19" i="1"/>
  <c r="J19" i="1" s="1"/>
  <c r="O33" i="3"/>
  <c r="O42" i="3" s="1"/>
  <c r="I40" i="3"/>
  <c r="Q27" i="3"/>
  <c r="Q33" i="3" s="1"/>
  <c r="N8" i="3"/>
  <c r="G25" i="1"/>
  <c r="I25" i="1"/>
  <c r="J25" i="1" s="1"/>
  <c r="F40" i="1"/>
  <c r="G40" i="1" s="1"/>
  <c r="I40" i="1"/>
  <c r="L40" i="1" s="1"/>
  <c r="M40" i="1" s="1"/>
  <c r="L22" i="3"/>
  <c r="G21" i="1"/>
  <c r="I21" i="1"/>
  <c r="J21" i="1" s="1"/>
  <c r="B37" i="3"/>
  <c r="I33" i="3"/>
  <c r="R35" i="3"/>
  <c r="R40" i="3" s="1"/>
  <c r="O8" i="3"/>
  <c r="O14" i="3" s="1"/>
  <c r="G18" i="1"/>
  <c r="F24" i="1"/>
  <c r="G24" i="1" s="1"/>
  <c r="I18" i="1"/>
  <c r="N22" i="3"/>
  <c r="I43" i="1"/>
  <c r="L43" i="1" s="1"/>
  <c r="M43" i="1" s="1"/>
  <c r="I8" i="3"/>
  <c r="G23" i="1"/>
  <c r="I23" i="1"/>
  <c r="G37" i="1"/>
  <c r="J37" i="1" s="1"/>
  <c r="I37" i="1" s="1"/>
  <c r="L37" i="1" s="1"/>
  <c r="M37" i="1" s="1"/>
  <c r="O22" i="3"/>
  <c r="G22" i="1"/>
  <c r="I22" i="1"/>
  <c r="J22" i="1" s="1"/>
  <c r="G20" i="1"/>
  <c r="I20" i="1"/>
  <c r="J20" i="1" s="1"/>
  <c r="C24" i="1"/>
  <c r="R14" i="3"/>
  <c r="R24" i="3" s="1"/>
  <c r="F10" i="1" l="1"/>
  <c r="G10" i="1" s="1"/>
  <c r="G15" i="1"/>
  <c r="I8" i="1"/>
  <c r="J8" i="1" s="1"/>
  <c r="G11" i="1"/>
  <c r="G12" i="1"/>
  <c r="I13" i="1"/>
  <c r="J13" i="1" s="1"/>
  <c r="G14" i="1"/>
  <c r="J14" i="3"/>
  <c r="J24" i="3" s="1"/>
  <c r="J44" i="3" s="1"/>
  <c r="J46" i="3" s="1"/>
  <c r="J55" i="3" s="1"/>
  <c r="J58" i="3" s="1"/>
  <c r="J1" i="3"/>
  <c r="K42" i="3"/>
  <c r="E44" i="3"/>
  <c r="E46" i="3" s="1"/>
  <c r="E55" i="3" s="1"/>
  <c r="E58" i="3" s="1"/>
  <c r="C42" i="3"/>
  <c r="F44" i="3"/>
  <c r="F46" i="3" s="1"/>
  <c r="F55" i="3" s="1"/>
  <c r="F58" i="3" s="1"/>
  <c r="P42" i="3"/>
  <c r="P23" i="1"/>
  <c r="S23" i="1" s="1"/>
  <c r="K24" i="3"/>
  <c r="K44" i="3" s="1"/>
  <c r="K46" i="3" s="1"/>
  <c r="K55" i="3" s="1"/>
  <c r="K58" i="3" s="1"/>
  <c r="L14" i="3"/>
  <c r="L1" i="3"/>
  <c r="C44" i="3"/>
  <c r="C46" i="3" s="1"/>
  <c r="C55" i="3" s="1"/>
  <c r="C58" i="3" s="1"/>
  <c r="D24" i="3"/>
  <c r="D44" i="3" s="1"/>
  <c r="D46" i="3" s="1"/>
  <c r="D55" i="3" s="1"/>
  <c r="D58" i="3" s="1"/>
  <c r="I14" i="3"/>
  <c r="I24" i="3" s="1"/>
  <c r="I44" i="3" s="1"/>
  <c r="I46" i="3" s="1"/>
  <c r="I55" i="3" s="1"/>
  <c r="I58" i="3" s="1"/>
  <c r="I1" i="3"/>
  <c r="I42" i="3"/>
  <c r="R42" i="3"/>
  <c r="N14" i="3"/>
  <c r="N1" i="3"/>
  <c r="Q40" i="3"/>
  <c r="Q42" i="3" s="1"/>
  <c r="Q44" i="3" s="1"/>
  <c r="Q46" i="3" s="1"/>
  <c r="H24" i="3"/>
  <c r="H44" i="3" s="1"/>
  <c r="H46" i="3" s="1"/>
  <c r="H55" i="3" s="1"/>
  <c r="H58" i="3" s="1"/>
  <c r="G14" i="3"/>
  <c r="G24" i="3" s="1"/>
  <c r="G44" i="3" s="1"/>
  <c r="G46" i="3" s="1"/>
  <c r="G55" i="3" s="1"/>
  <c r="G58" i="3" s="1"/>
  <c r="G1" i="3"/>
  <c r="L8" i="1"/>
  <c r="M8" i="1" s="1"/>
  <c r="L7" i="1"/>
  <c r="L13" i="1" s="1"/>
  <c r="J15" i="1"/>
  <c r="J14" i="1"/>
  <c r="J12" i="1"/>
  <c r="F16" i="1"/>
  <c r="O24" i="3"/>
  <c r="P24" i="3"/>
  <c r="P44" i="3" s="1"/>
  <c r="P46" i="3" s="1"/>
  <c r="L24" i="3"/>
  <c r="L44" i="3" s="1"/>
  <c r="L46" i="3" s="1"/>
  <c r="L55" i="3" s="1"/>
  <c r="L58" i="3" s="1"/>
  <c r="N24" i="3"/>
  <c r="N44" i="3" s="1"/>
  <c r="N46" i="3" s="1"/>
  <c r="N55" i="3" s="1"/>
  <c r="N58" i="3" s="1"/>
  <c r="I9" i="1"/>
  <c r="G9" i="1"/>
  <c r="R44" i="3"/>
  <c r="R46" i="3" s="1"/>
  <c r="F42" i="1"/>
  <c r="G42" i="1" s="1"/>
  <c r="L18" i="1"/>
  <c r="J18" i="1"/>
  <c r="J23" i="1"/>
  <c r="R18" i="1"/>
  <c r="S18" i="1" s="1"/>
  <c r="C60" i="1"/>
  <c r="B3" i="3"/>
  <c r="O8" i="1" l="1"/>
  <c r="J11" i="1"/>
  <c r="P8" i="1"/>
  <c r="R8" i="1"/>
  <c r="S8" i="1" s="1"/>
  <c r="M7" i="1"/>
  <c r="L14" i="1"/>
  <c r="L15" i="1"/>
  <c r="L12" i="1"/>
  <c r="L11" i="1"/>
  <c r="J9" i="1"/>
  <c r="L9" i="1"/>
  <c r="M9" i="1" s="1"/>
  <c r="O44" i="3"/>
  <c r="O46" i="3" s="1"/>
  <c r="O55" i="3" s="1"/>
  <c r="O58" i="3" s="1"/>
  <c r="O59" i="3" s="1"/>
  <c r="O60" i="3" s="1"/>
  <c r="G38" i="1"/>
  <c r="B36" i="3"/>
  <c r="G16" i="1"/>
  <c r="F26" i="1"/>
  <c r="G26" i="1" s="1"/>
  <c r="O28" i="1"/>
  <c r="L28" i="1"/>
  <c r="O39" i="1"/>
  <c r="R39" i="1" s="1"/>
  <c r="O43" i="1"/>
  <c r="R43" i="1" s="1"/>
  <c r="O40" i="1"/>
  <c r="O37" i="1"/>
  <c r="O34" i="1"/>
  <c r="R34" i="1" s="1"/>
  <c r="L25" i="1"/>
  <c r="L23" i="1"/>
  <c r="M23" i="1" s="1"/>
  <c r="L22" i="1"/>
  <c r="O22" i="1" s="1"/>
  <c r="L21" i="1"/>
  <c r="L20" i="1"/>
  <c r="L19" i="1"/>
  <c r="O19" i="1" s="1"/>
  <c r="P18" i="1"/>
  <c r="O25" i="1" l="1"/>
  <c r="P25" i="1" s="1"/>
  <c r="R19" i="1"/>
  <c r="O20" i="1"/>
  <c r="P20" i="1" s="1"/>
  <c r="O21" i="1"/>
  <c r="R21" i="1" s="1"/>
  <c r="S21" i="1" s="1"/>
  <c r="R37" i="1"/>
  <c r="S37" i="1" s="1"/>
  <c r="P43" i="1"/>
  <c r="S43" i="1"/>
  <c r="P19" i="1"/>
  <c r="P39" i="1"/>
  <c r="S39" i="1"/>
  <c r="P34" i="1"/>
  <c r="S34" i="1"/>
  <c r="P40" i="1"/>
  <c r="P37" i="1"/>
  <c r="O23" i="1"/>
  <c r="M19" i="1"/>
  <c r="M21" i="1"/>
  <c r="M25" i="1"/>
  <c r="M20" i="1"/>
  <c r="M22" i="1"/>
  <c r="M18" i="1"/>
  <c r="L24" i="1"/>
  <c r="M24" i="1" s="1"/>
  <c r="L10" i="1"/>
  <c r="I10" i="1"/>
  <c r="J10" i="1" s="1"/>
  <c r="I24" i="1"/>
  <c r="J24" i="1" s="1"/>
  <c r="M10" i="1" l="1"/>
  <c r="O7" i="1"/>
  <c r="P21" i="1"/>
  <c r="R25" i="1"/>
  <c r="S25" i="1" s="1"/>
  <c r="R20" i="1"/>
  <c r="R23" i="1"/>
  <c r="S19" i="1"/>
  <c r="S40" i="1"/>
  <c r="I16" i="1"/>
  <c r="J16" i="1" s="1"/>
  <c r="L16" i="1"/>
  <c r="O9" i="1" l="1"/>
  <c r="O10" i="1" s="1"/>
  <c r="R7" i="1"/>
  <c r="P7" i="1"/>
  <c r="O13" i="1"/>
  <c r="O14" i="1"/>
  <c r="O15" i="1"/>
  <c r="O12" i="1"/>
  <c r="O11" i="1"/>
  <c r="R22" i="1"/>
  <c r="P22" i="1"/>
  <c r="O24" i="1"/>
  <c r="P24" i="1" s="1"/>
  <c r="I26" i="1"/>
  <c r="I38" i="1" s="1"/>
  <c r="L26" i="1"/>
  <c r="M16" i="1"/>
  <c r="S7" i="1" l="1"/>
  <c r="R12" i="1"/>
  <c r="R11" i="1"/>
  <c r="R9" i="1"/>
  <c r="R10" i="1" s="1"/>
  <c r="R15" i="1"/>
  <c r="R14" i="1"/>
  <c r="R13" i="1"/>
  <c r="P10" i="1"/>
  <c r="O16" i="1"/>
  <c r="P16" i="1" s="1"/>
  <c r="O26" i="1"/>
  <c r="O38" i="1" s="1"/>
  <c r="S22" i="1"/>
  <c r="R24" i="1"/>
  <c r="J26" i="1"/>
  <c r="M26" i="1"/>
  <c r="L38" i="1"/>
  <c r="I28" i="1"/>
  <c r="B2" i="2"/>
  <c r="N3" i="2"/>
  <c r="I41" i="1"/>
  <c r="I42" i="1" s="1"/>
  <c r="S10" i="1" l="1"/>
  <c r="R16" i="1"/>
  <c r="S16" i="1" s="1"/>
  <c r="M3" i="2"/>
  <c r="M4" i="3"/>
  <c r="M26" i="3" s="1"/>
  <c r="P26" i="1"/>
  <c r="S24" i="1"/>
  <c r="R26" i="1"/>
  <c r="J42" i="1"/>
  <c r="L41" i="1"/>
  <c r="L3" i="2" l="1"/>
  <c r="L4" i="3"/>
  <c r="L26" i="3" s="1"/>
  <c r="S26" i="1"/>
  <c r="R38" i="1"/>
  <c r="O41" i="1"/>
  <c r="R41" i="1" s="1"/>
  <c r="M41" i="1"/>
  <c r="L42" i="1"/>
  <c r="K3" i="2" l="1"/>
  <c r="K4" i="3"/>
  <c r="K26" i="3" s="1"/>
  <c r="S41" i="1"/>
  <c r="R42" i="1"/>
  <c r="S42" i="1" s="1"/>
  <c r="O42" i="1"/>
  <c r="P42" i="1" s="1"/>
  <c r="P41" i="1"/>
  <c r="M42" i="1"/>
  <c r="J3" i="2" l="1"/>
  <c r="J4" i="3"/>
  <c r="J26" i="3" s="1"/>
  <c r="G33" i="1"/>
  <c r="G34" i="1"/>
  <c r="G32" i="1"/>
  <c r="G31" i="1"/>
  <c r="G30" i="1"/>
  <c r="G29" i="1"/>
  <c r="F35" i="1"/>
  <c r="G35" i="1" s="1"/>
  <c r="I3" i="2" l="1"/>
  <c r="I4" i="3"/>
  <c r="I26" i="3" s="1"/>
  <c r="J29" i="1"/>
  <c r="I29" i="1" s="1"/>
  <c r="J30" i="1"/>
  <c r="I30" i="1" s="1"/>
  <c r="L30" i="1" s="1"/>
  <c r="J31" i="1"/>
  <c r="I31" i="1" s="1"/>
  <c r="L31" i="1" s="1"/>
  <c r="J32" i="1"/>
  <c r="I32" i="1" s="1"/>
  <c r="L32" i="1" s="1"/>
  <c r="J33" i="1"/>
  <c r="I33" i="1" s="1"/>
  <c r="L33" i="1" s="1"/>
  <c r="F44" i="1"/>
  <c r="G44" i="1" s="1"/>
  <c r="H3" i="2" l="1"/>
  <c r="H4" i="3"/>
  <c r="H26" i="3" s="1"/>
  <c r="O33" i="1"/>
  <c r="R33" i="1" s="1"/>
  <c r="M33" i="1"/>
  <c r="M31" i="1"/>
  <c r="O31" i="1"/>
  <c r="R31" i="1" s="1"/>
  <c r="S31" i="1" s="1"/>
  <c r="O32" i="1"/>
  <c r="R32" i="1" s="1"/>
  <c r="S32" i="1" s="1"/>
  <c r="M32" i="1"/>
  <c r="O30" i="1"/>
  <c r="R30" i="1" s="1"/>
  <c r="S30" i="1" s="1"/>
  <c r="M30" i="1"/>
  <c r="L29" i="1"/>
  <c r="M29" i="1" s="1"/>
  <c r="I35" i="1"/>
  <c r="I44" i="1" s="1"/>
  <c r="F46" i="1"/>
  <c r="F48" i="1" s="1"/>
  <c r="P33" i="1"/>
  <c r="S33" i="1"/>
  <c r="L35" i="1"/>
  <c r="P30" i="1" l="1"/>
  <c r="O29" i="1"/>
  <c r="R29" i="1" s="1"/>
  <c r="R35" i="1" s="1"/>
  <c r="J35" i="1"/>
  <c r="J36" i="1" s="1"/>
  <c r="P31" i="1"/>
  <c r="G3" i="2"/>
  <c r="G4" i="3"/>
  <c r="G26" i="3" s="1"/>
  <c r="P32" i="1"/>
  <c r="G46" i="1"/>
  <c r="S29" i="1"/>
  <c r="O35" i="1"/>
  <c r="P29" i="1"/>
  <c r="M35" i="1"/>
  <c r="L44" i="1"/>
  <c r="J44" i="1"/>
  <c r="I46" i="1"/>
  <c r="G48" i="1"/>
  <c r="F5" i="1"/>
  <c r="G2" i="4" s="1"/>
  <c r="F3" i="2" l="1"/>
  <c r="F4" i="3"/>
  <c r="F26" i="3" s="1"/>
  <c r="S35" i="1"/>
  <c r="R44" i="1"/>
  <c r="O44" i="1"/>
  <c r="P35" i="1"/>
  <c r="I48" i="1"/>
  <c r="J46" i="1"/>
  <c r="M44" i="1"/>
  <c r="L46" i="1"/>
  <c r="E3" i="2" l="1"/>
  <c r="E4" i="3"/>
  <c r="E26" i="3" s="1"/>
  <c r="R46" i="1"/>
  <c r="C30" i="1" s="1"/>
  <c r="C32" i="1" s="1"/>
  <c r="S44" i="1"/>
  <c r="O46" i="1"/>
  <c r="O48" i="1" s="1"/>
  <c r="O5" i="1" s="1"/>
  <c r="G5" i="4" s="1"/>
  <c r="P44" i="1"/>
  <c r="L48" i="1"/>
  <c r="L5" i="1" s="1"/>
  <c r="G4" i="4" s="1"/>
  <c r="M46" i="1"/>
  <c r="I5" i="1"/>
  <c r="G3" i="4" s="1"/>
  <c r="J48" i="1"/>
  <c r="D3" i="2" l="1"/>
  <c r="C4" i="3" s="1"/>
  <c r="C26" i="3" s="1"/>
  <c r="D4" i="3"/>
  <c r="D26" i="3" s="1"/>
  <c r="P46" i="1"/>
  <c r="R48" i="1"/>
  <c r="R5" i="1" s="1"/>
  <c r="S46" i="1"/>
  <c r="M48" i="1"/>
  <c r="S20" i="1" l="1"/>
  <c r="S48" i="1"/>
  <c r="P48" i="1"/>
  <c r="C3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Cope, Connor</author>
  </authors>
  <commentList>
    <comment ref="C13" authorId="0" shapeId="0" xr:uid="{1F90B2CA-701F-416A-A078-041364E667C9}">
      <text>
        <r>
          <rPr>
            <b/>
            <sz val="9"/>
            <color indexed="81"/>
            <rFont val="Tahoma"/>
            <family val="2"/>
          </rPr>
          <t>Cope, Connor:</t>
        </r>
        <r>
          <rPr>
            <sz val="9"/>
            <color indexed="81"/>
            <rFont val="Tahoma"/>
            <family val="2"/>
          </rPr>
          <t xml:space="preserve">
May require sign reversal</t>
        </r>
      </text>
    </comment>
    <comment ref="C21" authorId="0" shapeId="0" xr:uid="{82C3C34B-E83A-45C9-99E8-05846C4A920E}">
      <text>
        <r>
          <rPr>
            <b/>
            <sz val="9"/>
            <color indexed="81"/>
            <rFont val="Tahoma"/>
            <family val="2"/>
          </rPr>
          <t>Cope, Connor:</t>
        </r>
        <r>
          <rPr>
            <sz val="9"/>
            <color indexed="81"/>
            <rFont val="Tahoma"/>
            <family val="2"/>
          </rPr>
          <t xml:space="preserve">
May require sign reversal</t>
        </r>
      </text>
    </comment>
  </commentList>
</comments>
</file>

<file path=xl/sharedStrings.xml><?xml version="1.0" encoding="utf-8"?>
<sst xmlns="http://schemas.openxmlformats.org/spreadsheetml/2006/main" count="451" uniqueCount="357">
  <si>
    <t>Code</t>
  </si>
  <si>
    <t>Line Item                                                               Months ---&gt;</t>
  </si>
  <si>
    <t>TOTALS</t>
  </si>
  <si>
    <t>Coding Dictionary</t>
  </si>
  <si>
    <t>Shortcuts</t>
  </si>
  <si>
    <t>mkt</t>
  </si>
  <si>
    <t>aff</t>
  </si>
  <si>
    <t>ltl</t>
  </si>
  <si>
    <t>vac</t>
  </si>
  <si>
    <t>conc</t>
  </si>
  <si>
    <t>empmo</t>
  </si>
  <si>
    <t>down</t>
  </si>
  <si>
    <t>bd</t>
  </si>
  <si>
    <t>pkg</t>
  </si>
  <si>
    <t>stg</t>
  </si>
  <si>
    <t>pet</t>
  </si>
  <si>
    <t>tv</t>
  </si>
  <si>
    <t>oinc</t>
  </si>
  <si>
    <t>rubs</t>
  </si>
  <si>
    <t>cominc</t>
  </si>
  <si>
    <t>adv</t>
  </si>
  <si>
    <t>adm</t>
  </si>
  <si>
    <t>rm</t>
  </si>
  <si>
    <t>cs</t>
  </si>
  <si>
    <t>to</t>
  </si>
  <si>
    <t>pay</t>
  </si>
  <si>
    <t>util</t>
  </si>
  <si>
    <t>Management Fee</t>
  </si>
  <si>
    <t>mgt</t>
  </si>
  <si>
    <t>Insurance</t>
  </si>
  <si>
    <t>ins</t>
  </si>
  <si>
    <t>ret</t>
  </si>
  <si>
    <t>hoa</t>
  </si>
  <si>
    <t>comexp</t>
  </si>
  <si>
    <t>capx</t>
  </si>
  <si>
    <t>nrcapx</t>
  </si>
  <si>
    <t>amcapx</t>
  </si>
  <si>
    <t>intcapx</t>
  </si>
  <si>
    <t>tilc</t>
  </si>
  <si>
    <t>nai</t>
  </si>
  <si>
    <t>nae</t>
  </si>
  <si>
    <t>Input Seller's NOI for Check</t>
  </si>
  <si>
    <t>Gross Potential Rent - Market Rate</t>
  </si>
  <si>
    <t>Gross Potential Rent - Affordables</t>
  </si>
  <si>
    <t>Gain / Loss-to-Lease</t>
  </si>
  <si>
    <t>Physical Vacancy</t>
  </si>
  <si>
    <t>Concessions</t>
  </si>
  <si>
    <t>Employee / Model Units</t>
  </si>
  <si>
    <t>Down Units</t>
  </si>
  <si>
    <t>Bad Debt / Write-Offs</t>
  </si>
  <si>
    <t>Parking</t>
  </si>
  <si>
    <t>Storage</t>
  </si>
  <si>
    <t>Pet Fees / Rent</t>
  </si>
  <si>
    <t>Cable / Internet</t>
  </si>
  <si>
    <t>Other Income Misc.</t>
  </si>
  <si>
    <t>Utility Reimbursements</t>
  </si>
  <si>
    <t>Commercial Income</t>
  </si>
  <si>
    <t>Advertising / Marketing</t>
  </si>
  <si>
    <t>Administrative</t>
  </si>
  <si>
    <t>Repairs &amp; Maintenance</t>
  </si>
  <si>
    <t>Contract Services</t>
  </si>
  <si>
    <t>Turnover / Make Ready</t>
  </si>
  <si>
    <t>Payroll &amp; Benefits</t>
  </si>
  <si>
    <t>Utilities</t>
  </si>
  <si>
    <t>Real Estate Taxes</t>
  </si>
  <si>
    <t>HOA</t>
  </si>
  <si>
    <t>Commercial Expenses</t>
  </si>
  <si>
    <t>Replacement Reserves</t>
  </si>
  <si>
    <t>Non-Recurring CapEx</t>
  </si>
  <si>
    <t>Amenity / Common Area CapEx</t>
  </si>
  <si>
    <t>Unit Interior CapEx</t>
  </si>
  <si>
    <t>TI&amp;LC Expenditures</t>
  </si>
  <si>
    <t>N/A Income / Entity Income</t>
  </si>
  <si>
    <t>N/A Expenses / Entity Expenses</t>
  </si>
  <si>
    <t>¯¯    Select Mesirow COA Code    ¯¯</t>
  </si>
  <si>
    <t>Property Name</t>
  </si>
  <si>
    <t>RENTAL REVENUE</t>
  </si>
  <si>
    <t>Net Potential Rent</t>
  </si>
  <si>
    <t>Net Rental Income</t>
  </si>
  <si>
    <t>OTHER INCOME</t>
  </si>
  <si>
    <t>Total Other Income</t>
  </si>
  <si>
    <t>Effective Gross Income</t>
  </si>
  <si>
    <t>VARIABLE OPERATING EXPENSES</t>
  </si>
  <si>
    <t>SUBTOTAL</t>
  </si>
  <si>
    <t>NON-VARIABLE OPERATING EXPENSES</t>
  </si>
  <si>
    <t>Total Operating Expenses</t>
  </si>
  <si>
    <t>Net Operating Income (before Repl. Reserves)</t>
  </si>
  <si>
    <t>Net Operating Income (after Repl. Reserves)</t>
  </si>
  <si>
    <t>Untrended Stablized</t>
  </si>
  <si>
    <t>CAPITAL EXPENSES</t>
  </si>
  <si>
    <t>Total Capital Expenses</t>
  </si>
  <si>
    <t>Operating Cash Flow</t>
  </si>
  <si>
    <t>Net Operating Cash Flow (match Seller's #s)</t>
  </si>
  <si>
    <t>T12</t>
  </si>
  <si>
    <t>T6</t>
  </si>
  <si>
    <t>T3</t>
  </si>
  <si>
    <t>T1</t>
  </si>
  <si>
    <t>Property Overview</t>
  </si>
  <si>
    <t>City, State, ZIP</t>
  </si>
  <si>
    <t>MSA</t>
  </si>
  <si>
    <t>County</t>
  </si>
  <si>
    <t>Year of Constructon</t>
  </si>
  <si>
    <t>Average Unit SF</t>
  </si>
  <si>
    <t>GP Owner</t>
  </si>
  <si>
    <t>Property Type / Materials</t>
  </si>
  <si>
    <t>Unit Count / Market Rate</t>
  </si>
  <si>
    <t>Broker</t>
  </si>
  <si>
    <t>Purchase Summary</t>
  </si>
  <si>
    <t>Whisper Price</t>
  </si>
  <si>
    <t>Per Unit / Per SF</t>
  </si>
  <si>
    <t>Per Unit</t>
  </si>
  <si>
    <t>Management Fees</t>
  </si>
  <si>
    <t>Stabilized Losses</t>
  </si>
  <si>
    <t>JLL</t>
  </si>
  <si>
    <t>Broker Contact</t>
  </si>
  <si>
    <t>/T12 Actual</t>
  </si>
  <si>
    <t>&lt;--- RET &amp; OpEx adj.</t>
  </si>
  <si>
    <t>MTM Growth</t>
  </si>
  <si>
    <t>Other Income Growth</t>
  </si>
  <si>
    <t>Expense Growth</t>
  </si>
  <si>
    <t>Insurance Growth</t>
  </si>
  <si>
    <t>Commercial Growth</t>
  </si>
  <si>
    <t>RET &amp; OpEx adj.</t>
  </si>
  <si>
    <t>Proforma Assumptions</t>
  </si>
  <si>
    <t>Broward</t>
  </si>
  <si>
    <t>MSA Options</t>
  </si>
  <si>
    <t>County Options</t>
  </si>
  <si>
    <t>Anaheim-Santa Ana-Irvine</t>
  </si>
  <si>
    <t>Arapahoe</t>
  </si>
  <si>
    <t>Atlanta</t>
  </si>
  <si>
    <t>Arlington</t>
  </si>
  <si>
    <t>Austin</t>
  </si>
  <si>
    <t>Bergen</t>
  </si>
  <si>
    <t>Baltimore</t>
  </si>
  <si>
    <t>Boston</t>
  </si>
  <si>
    <t>Charleston</t>
  </si>
  <si>
    <t>Boulder</t>
  </si>
  <si>
    <t>Chester</t>
  </si>
  <si>
    <t>Bridgeport-Stamford</t>
  </si>
  <si>
    <t>Clark</t>
  </si>
  <si>
    <t>Cobb</t>
  </si>
  <si>
    <t>Charlotte</t>
  </si>
  <si>
    <t>Collin</t>
  </si>
  <si>
    <t>Chicago</t>
  </si>
  <si>
    <t>Cook</t>
  </si>
  <si>
    <t>Dallas-Plano-Irving</t>
  </si>
  <si>
    <t>Dallas</t>
  </si>
  <si>
    <t>Denver</t>
  </si>
  <si>
    <t>Davidson</t>
  </si>
  <si>
    <t>Ft. Lauderdale-Pompano</t>
  </si>
  <si>
    <t>DeKalb</t>
  </si>
  <si>
    <t>Ft. Worth-Arlington</t>
  </si>
  <si>
    <t>Denton</t>
  </si>
  <si>
    <t>Greenville</t>
  </si>
  <si>
    <t>Houston</t>
  </si>
  <si>
    <t>Douglas</t>
  </si>
  <si>
    <t>Jacksonville</t>
  </si>
  <si>
    <t>DuPage</t>
  </si>
  <si>
    <t>L.A. - Long Beach-Glendale</t>
  </si>
  <si>
    <t>Durham</t>
  </si>
  <si>
    <t>Las Vegas</t>
  </si>
  <si>
    <t>Durham/Orange</t>
  </si>
  <si>
    <t>Miami-Kendall</t>
  </si>
  <si>
    <t>Forsyth</t>
  </si>
  <si>
    <t>Minneapolis-St. Paul</t>
  </si>
  <si>
    <t>Fulton</t>
  </si>
  <si>
    <t>N. Port-Sarasota-Bradenton</t>
  </si>
  <si>
    <t>Gwinnett</t>
  </si>
  <si>
    <t>Naples-Marco Island</t>
  </si>
  <si>
    <t>Harris</t>
  </si>
  <si>
    <t>Nashville</t>
  </si>
  <si>
    <t>Hennepin</t>
  </si>
  <si>
    <t>Nassau Co. - Suffolk Co.</t>
  </si>
  <si>
    <t>Hillsborough</t>
  </si>
  <si>
    <t>New York-White Plains</t>
  </si>
  <si>
    <t>Iredell</t>
  </si>
  <si>
    <t>Newark-Jersey City</t>
  </si>
  <si>
    <t>Jefferson</t>
  </si>
  <si>
    <t>Oakland-Hayward-Berkeley</t>
  </si>
  <si>
    <t>Kane</t>
  </si>
  <si>
    <t>Orlando</t>
  </si>
  <si>
    <t>King</t>
  </si>
  <si>
    <t>Oxnard-Thousand Oaks</t>
  </si>
  <si>
    <t>Manatee</t>
  </si>
  <si>
    <t>Palm Bay-Melbourne</t>
  </si>
  <si>
    <t>Maricopa</t>
  </si>
  <si>
    <t>Philadelphia</t>
  </si>
  <si>
    <t>Marietta</t>
  </si>
  <si>
    <t>Phoenix</t>
  </si>
  <si>
    <t>Martin</t>
  </si>
  <si>
    <t>Portfolio</t>
  </si>
  <si>
    <t>Mecklenburg</t>
  </si>
  <si>
    <t>Portland</t>
  </si>
  <si>
    <t>Miami-Dade</t>
  </si>
  <si>
    <t>Raleigh</t>
  </si>
  <si>
    <t>Middlesex</t>
  </si>
  <si>
    <t>Riverside-San Bernardino</t>
  </si>
  <si>
    <t>Multnomah</t>
  </si>
  <si>
    <t>Salt Lake City</t>
  </si>
  <si>
    <t>Orange</t>
  </si>
  <si>
    <t>San Antonio</t>
  </si>
  <si>
    <t>Osceola</t>
  </si>
  <si>
    <t>San Diego</t>
  </si>
  <si>
    <t>Palm Beach</t>
  </si>
  <si>
    <t>San Francisco</t>
  </si>
  <si>
    <t>Pinellas</t>
  </si>
  <si>
    <t>San Jose-Sunnyvale-S. Clara</t>
  </si>
  <si>
    <t>Santa Maria-Santa Barbara</t>
  </si>
  <si>
    <t>Prince William</t>
  </si>
  <si>
    <t>Santa Rosa</t>
  </si>
  <si>
    <t>San Bernardino</t>
  </si>
  <si>
    <t>Seattle</t>
  </si>
  <si>
    <t>Tacoma-Lakewood</t>
  </si>
  <si>
    <t>Seminole</t>
  </si>
  <si>
    <t>Tampa-St. Pete</t>
  </si>
  <si>
    <t>Suffolk</t>
  </si>
  <si>
    <t>Vallejo/Fairfield/Napa</t>
  </si>
  <si>
    <t>Tarrant</t>
  </si>
  <si>
    <t>Washington-Northern VA</t>
  </si>
  <si>
    <t>Travis</t>
  </si>
  <si>
    <t>West Palm-Boca-Delray</t>
  </si>
  <si>
    <t>Wake</t>
  </si>
  <si>
    <t>Worcester</t>
  </si>
  <si>
    <t>Williamson</t>
  </si>
  <si>
    <t>Type</t>
  </si>
  <si>
    <t>Garden / tbd</t>
  </si>
  <si>
    <t>Garden / Wood</t>
  </si>
  <si>
    <t>Garden / Concrete</t>
  </si>
  <si>
    <t>Garden / Steel</t>
  </si>
  <si>
    <t>Garden HD / tbd</t>
  </si>
  <si>
    <t>Garden HD / Wood</t>
  </si>
  <si>
    <t>Garden HD / Concrete</t>
  </si>
  <si>
    <t>Garden HD / Steel</t>
  </si>
  <si>
    <t>Mid-Rise Wrap / tbd</t>
  </si>
  <si>
    <t>Mid-Rise Wrap / Wood</t>
  </si>
  <si>
    <t>Mid-Rise Wrap / Concrete</t>
  </si>
  <si>
    <t>Mid-Rise Wrap / Steel</t>
  </si>
  <si>
    <t>Mid-Rise Podium / tbd</t>
  </si>
  <si>
    <t>Mid-Rise Podium / Wood</t>
  </si>
  <si>
    <t>Mid-Rise Podium / Concrete</t>
  </si>
  <si>
    <t>Mid-Rise Podium / Steel</t>
  </si>
  <si>
    <t>High-Rise / tbd</t>
  </si>
  <si>
    <t>High-Rise / Wood</t>
  </si>
  <si>
    <t>High-Rise / Concrete</t>
  </si>
  <si>
    <t>High-Rise / Steel</t>
  </si>
  <si>
    <t>Other</t>
  </si>
  <si>
    <t>Brokerage Options</t>
  </si>
  <si>
    <t>Berkadia</t>
  </si>
  <si>
    <t>C&amp;W</t>
  </si>
  <si>
    <t>CBRE</t>
  </si>
  <si>
    <t>Eastdil</t>
  </si>
  <si>
    <t>Engler</t>
  </si>
  <si>
    <t>IPA</t>
  </si>
  <si>
    <t>Newmark</t>
  </si>
  <si>
    <t>Northmarq</t>
  </si>
  <si>
    <t>W&amp;D</t>
  </si>
  <si>
    <t>W&amp;D / Engler</t>
  </si>
  <si>
    <t>none</t>
  </si>
  <si>
    <t>BlueGate</t>
  </si>
  <si>
    <t>Patterson</t>
  </si>
  <si>
    <t>Colliers</t>
  </si>
  <si>
    <t>Bravo &amp; Partners</t>
  </si>
  <si>
    <t>Street Address</t>
  </si>
  <si>
    <t>Initial CFO Date</t>
  </si>
  <si>
    <t>[Description of Space]</t>
  </si>
  <si>
    <t>Monthly Rental Rate</t>
  </si>
  <si>
    <t>Occupancy %</t>
  </si>
  <si>
    <t>Total Revenue</t>
  </si>
  <si>
    <t>Parking Spaces</t>
  </si>
  <si>
    <t>PARKING GRAND TOTAL</t>
  </si>
  <si>
    <t>PARKING T12 (+/- %)</t>
  </si>
  <si>
    <t>Manager</t>
  </si>
  <si>
    <t>Assistant Manager</t>
  </si>
  <si>
    <t>Leasing - Staff</t>
  </si>
  <si>
    <t>Doorman</t>
  </si>
  <si>
    <t>Concierge</t>
  </si>
  <si>
    <t>Maintenance - Manager</t>
  </si>
  <si>
    <t>Maintenance - Tech</t>
  </si>
  <si>
    <t>Grounds</t>
  </si>
  <si>
    <t>Porter</t>
  </si>
  <si>
    <t>Courtesy Patrol</t>
  </si>
  <si>
    <t>Subtotal</t>
  </si>
  <si>
    <t>Burden</t>
  </si>
  <si>
    <t>Grand Total</t>
  </si>
  <si>
    <t>Salary</t>
  </si>
  <si>
    <t>Head Count</t>
  </si>
  <si>
    <t>Payroll Schedule</t>
  </si>
  <si>
    <t>Total $s</t>
  </si>
  <si>
    <t>Bonuses</t>
  </si>
  <si>
    <t>Per unit</t>
  </si>
  <si>
    <t># of Units</t>
  </si>
  <si>
    <t>Renovation #1</t>
  </si>
  <si>
    <t>Renovation #2</t>
  </si>
  <si>
    <t>Renovation #3</t>
  </si>
  <si>
    <t>Total/Wtd Avgs</t>
  </si>
  <si>
    <t>Renovation Premium</t>
  </si>
  <si>
    <t>NPR Trend w/ Conc--&gt;</t>
  </si>
  <si>
    <t>Vacancy Trend --&gt;</t>
  </si>
  <si>
    <t>Unit Renovation Summary</t>
  </si>
  <si>
    <t>T12 + 2%</t>
  </si>
  <si>
    <t>Real Estate Tax Schedule</t>
  </si>
  <si>
    <t>Re-Assessment Year</t>
  </si>
  <si>
    <t>Closing Date</t>
  </si>
  <si>
    <t>RET Year</t>
  </si>
  <si>
    <t>Market Value Growth Rate</t>
  </si>
  <si>
    <t>Full Market Value</t>
  </si>
  <si>
    <t>Re-Assessment Ratio</t>
  </si>
  <si>
    <t>Assessed Value</t>
  </si>
  <si>
    <t>Assessment Ratio</t>
  </si>
  <si>
    <t>Tax Value</t>
  </si>
  <si>
    <t>Millage Growth Rate</t>
  </si>
  <si>
    <t>Millage Rate</t>
  </si>
  <si>
    <t>Property Tax</t>
  </si>
  <si>
    <t>Non Ad Growth Rate</t>
  </si>
  <si>
    <t>Non Ad-Valorem Tax</t>
  </si>
  <si>
    <t>Total RET</t>
  </si>
  <si>
    <t>Early Payment Discount</t>
  </si>
  <si>
    <t>Total RET w/ Discount</t>
  </si>
  <si>
    <t>YR1 Month End</t>
  </si>
  <si>
    <t>Hold Year</t>
  </si>
  <si>
    <t>Hold Year Beginning</t>
  </si>
  <si>
    <t>RET Expense</t>
  </si>
  <si>
    <t>Trended Re-Assessed RET</t>
  </si>
  <si>
    <t># Yrs to Untrend</t>
  </si>
  <si>
    <t>Untrend Rate</t>
  </si>
  <si>
    <t>Untrended Re-Assessed RET</t>
  </si>
  <si>
    <t>County:</t>
  </si>
  <si>
    <t>City, State, Zip:</t>
  </si>
  <si>
    <t>Market Rent Growth</t>
  </si>
  <si>
    <t>Cost</t>
  </si>
  <si>
    <t>ROI</t>
  </si>
  <si>
    <t>Hold year Ending</t>
  </si>
  <si>
    <t>Renovation Detail</t>
  </si>
  <si>
    <t>Common Area / Amenity $s</t>
  </si>
  <si>
    <t>CM Fee</t>
  </si>
  <si>
    <t>Total Capital $s</t>
  </si>
  <si>
    <t>Trended Stablized</t>
  </si>
  <si>
    <t>Exit Cap Rate</t>
  </si>
  <si>
    <t>Residual Sale Price</t>
  </si>
  <si>
    <t>Annual Asset Appreciation</t>
  </si>
  <si>
    <t>Affordable Growth</t>
  </si>
  <si>
    <t>Closing Costs (%)</t>
  </si>
  <si>
    <t>Total Capitalization</t>
  </si>
  <si>
    <t>Unit Renovation $s</t>
  </si>
  <si>
    <t>Stblz Parking Assumptions</t>
  </si>
  <si>
    <t>&lt;--- w/ Revenue Losses stblz.</t>
  </si>
  <si>
    <t>Untrended</t>
  </si>
  <si>
    <t>Trended</t>
  </si>
  <si>
    <t>Financing Costs (%)</t>
  </si>
  <si>
    <t>Qualifier</t>
  </si>
  <si>
    <t>Cap Rate</t>
  </si>
  <si>
    <t>Net Operating Income (before Reserves)</t>
  </si>
  <si>
    <t>Net Operating Income (after Reserves)</t>
  </si>
  <si>
    <t>Deferred Maintenance $s</t>
  </si>
  <si>
    <t>Los Angeles</t>
  </si>
  <si>
    <t>Ventura</t>
  </si>
  <si>
    <t>Countywide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</si>
</sst>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43" formatCode="_(* #,##0.00_);_(* \(#,##0.00\);_(* &quot;-&quot;??_);_(@_)"/>
    <numFmt numFmtId="164" formatCode="[$-409]mmm\-yy;@"/>
    <numFmt numFmtId="165" formatCode="&quot;Year&quot;\ 0"/>
    <numFmt numFmtId="166" formatCode="&quot;$&quot;#,##0"/>
    <numFmt numFmtId="167" formatCode="0.0%"/>
    <numFmt numFmtId="168" formatCode="mm/dd/yy;@"/>
    <numFmt numFmtId="169" formatCode="0.0000%"/>
    <numFmt numFmtId="170" formatCode="&quot;QuickVal as of&quot;\ m/d/yyyy"/>
  </numFmts>
  <fonts count="3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sz val="10"/>
      <name val="Arial"/>
      <family val="2"/>
    </font>
    <font>
      <sz val="10"/>
      <color theme="1"/>
      <name val="Times New Roman"/>
      <family val="2"/>
    </font>
    <font>
      <sz val="9"/>
      <color theme="1"/>
      <name val="Calibri"/>
      <family val="2"/>
    </font>
    <font>
      <b/>
      <sz val="12"/>
      <name val="Calibri"/>
      <family val="2"/>
    </font>
    <font>
      <b/>
      <sz val="9"/>
      <name val="Calibri"/>
      <family val="2"/>
    </font>
    <font>
      <b/>
      <sz val="9"/>
      <color rgb="FF0000FF"/>
      <name val="Calibri"/>
      <family val="2"/>
    </font>
    <font>
      <b/>
      <u/>
      <sz val="9"/>
      <name val="Calibri"/>
      <family val="2"/>
    </font>
    <font>
      <sz val="9"/>
      <color rgb="FF505050"/>
      <name val="Calibri"/>
      <family val="2"/>
    </font>
    <font>
      <sz val="9"/>
      <name val="Calibri"/>
      <family val="2"/>
    </font>
    <font>
      <sz val="9"/>
      <color rgb="FF0000FF"/>
      <name val="Calibri"/>
      <family val="2"/>
    </font>
    <font>
      <b/>
      <sz val="9"/>
      <color theme="1"/>
      <name val="Calibri"/>
      <family val="2"/>
    </font>
    <font>
      <b/>
      <u/>
      <sz val="9"/>
      <color theme="1"/>
      <name val="Calibri"/>
      <family val="2"/>
    </font>
    <font>
      <b/>
      <sz val="9"/>
      <color theme="0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b/>
      <u/>
      <sz val="10"/>
      <color rgb="FF0000FF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b/>
      <sz val="10"/>
      <color theme="1"/>
      <name val="Calibri"/>
      <family val="2"/>
    </font>
    <font>
      <sz val="10"/>
      <name val="Calibri"/>
      <family val="2"/>
    </font>
    <font>
      <i/>
      <sz val="10"/>
      <color theme="1"/>
      <name val="Calibri"/>
      <family val="2"/>
    </font>
    <font>
      <b/>
      <i/>
      <sz val="10"/>
      <name val="Calibri"/>
      <family val="2"/>
    </font>
    <font>
      <b/>
      <i/>
      <sz val="10"/>
      <color theme="1"/>
      <name val="Calibri"/>
      <family val="2"/>
    </font>
    <font>
      <i/>
      <sz val="10"/>
      <name val="Calibri"/>
      <family val="2"/>
    </font>
    <font>
      <b/>
      <sz val="10"/>
      <color rgb="FF0000FF"/>
      <name val="Calibri"/>
      <family val="2"/>
    </font>
    <font>
      <sz val="10"/>
      <color rgb="FFFF0000"/>
      <name val="Calibri"/>
      <family val="2"/>
    </font>
    <font>
      <sz val="10"/>
      <color theme="1"/>
      <name val="Aptos Narrow"/>
      <family val="2"/>
      <scheme val="minor"/>
    </font>
    <font>
      <u/>
      <sz val="10"/>
      <color theme="1"/>
      <name val="Calibri"/>
      <family val="2"/>
    </font>
    <font>
      <u/>
      <sz val="10"/>
      <color rgb="FF0000FF"/>
      <name val="Calibri"/>
      <family val="2"/>
    </font>
    <font>
      <b/>
      <sz val="10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5AA3D2"/>
        <bgColor indexed="64"/>
      </patternFill>
    </fill>
    <fill>
      <patternFill patternType="solid">
        <fgColor rgb="FF007BC3"/>
        <bgColor indexed="64"/>
      </patternFill>
    </fill>
    <fill>
      <patternFill patternType="solid">
        <fgColor rgb="FF00468B"/>
        <bgColor indexed="64"/>
      </patternFill>
    </fill>
    <fill>
      <patternFill patternType="solid">
        <fgColor rgb="FFCEE4F2"/>
        <bgColor indexed="64"/>
      </patternFill>
    </fill>
    <fill>
      <patternFill patternType="solid">
        <fgColor rgb="FFFFF1AB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auto="1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/>
      <top style="medium">
        <color indexed="64"/>
      </top>
      <bottom style="dotted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  <xf numFmtId="0" fontId="4" fillId="0" borderId="0"/>
    <xf numFmtId="0" fontId="1" fillId="0" borderId="0"/>
    <xf numFmtId="43" fontId="1" fillId="0" borderId="0" applyFont="0" applyFill="0" applyBorder="0" applyAlignment="0" applyProtection="0"/>
  </cellStyleXfs>
  <cellXfs count="301">
    <xf numFmtId="0" fontId="0" fillId="0" borderId="0" xfId="0"/>
    <xf numFmtId="0" fontId="5" fillId="2" borderId="0" xfId="0" applyFont="1" applyFill="1"/>
    <xf numFmtId="0" fontId="5" fillId="2" borderId="0" xfId="0" applyFont="1" applyFill="1" applyAlignment="1">
      <alignment horizontal="right"/>
    </xf>
    <xf numFmtId="0" fontId="5" fillId="0" borderId="0" xfId="0" applyFont="1"/>
    <xf numFmtId="0" fontId="7" fillId="2" borderId="2" xfId="3" applyFont="1" applyFill="1" applyBorder="1" applyAlignment="1">
      <alignment horizontal="center" vertical="center"/>
    </xf>
    <xf numFmtId="0" fontId="7" fillId="2" borderId="2" xfId="3" applyFont="1" applyFill="1" applyBorder="1" applyAlignment="1">
      <alignment horizontal="left" vertical="center"/>
    </xf>
    <xf numFmtId="164" fontId="7" fillId="2" borderId="2" xfId="3" applyNumberFormat="1" applyFont="1" applyFill="1" applyBorder="1" applyAlignment="1">
      <alignment horizontal="right" vertical="center"/>
    </xf>
    <xf numFmtId="0" fontId="7" fillId="2" borderId="3" xfId="3" applyFont="1" applyFill="1" applyBorder="1" applyAlignment="1">
      <alignment horizontal="right" vertical="center"/>
    </xf>
    <xf numFmtId="5" fontId="9" fillId="2" borderId="4" xfId="4" applyNumberFormat="1" applyFont="1" applyFill="1" applyBorder="1" applyAlignment="1">
      <alignment horizontal="center" vertical="center" shrinkToFit="1"/>
    </xf>
    <xf numFmtId="0" fontId="10" fillId="2" borderId="0" xfId="3" applyFont="1" applyFill="1" applyAlignment="1">
      <alignment horizontal="center" vertical="center"/>
    </xf>
    <xf numFmtId="0" fontId="9" fillId="2" borderId="0" xfId="3" applyFont="1" applyFill="1"/>
    <xf numFmtId="0" fontId="11" fillId="0" borderId="0" xfId="3" applyFont="1"/>
    <xf numFmtId="0" fontId="11" fillId="2" borderId="0" xfId="3" applyFont="1" applyFill="1" applyAlignment="1">
      <alignment horizontal="right" vertical="center"/>
    </xf>
    <xf numFmtId="0" fontId="11" fillId="3" borderId="0" xfId="3" applyFont="1" applyFill="1"/>
    <xf numFmtId="0" fontId="11" fillId="2" borderId="0" xfId="3" applyFont="1" applyFill="1" applyAlignment="1">
      <alignment horizontal="center" vertical="center"/>
    </xf>
    <xf numFmtId="0" fontId="9" fillId="2" borderId="0" xfId="3" applyFont="1" applyFill="1" applyAlignment="1">
      <alignment horizontal="left" vertical="center"/>
    </xf>
    <xf numFmtId="0" fontId="12" fillId="2" borderId="0" xfId="3" applyFont="1" applyFill="1"/>
    <xf numFmtId="0" fontId="12" fillId="2" borderId="0" xfId="3" applyFont="1" applyFill="1" applyAlignment="1">
      <alignment horizontal="center" vertical="center"/>
    </xf>
    <xf numFmtId="4" fontId="12" fillId="2" borderId="0" xfId="3" applyNumberFormat="1" applyFont="1" applyFill="1" applyAlignment="1">
      <alignment horizontal="right" vertical="center"/>
    </xf>
    <xf numFmtId="0" fontId="12" fillId="2" borderId="0" xfId="3" applyFont="1" applyFill="1" applyAlignment="1">
      <alignment horizontal="right" vertical="center"/>
    </xf>
    <xf numFmtId="0" fontId="11" fillId="4" borderId="0" xfId="3" applyFont="1" applyFill="1"/>
    <xf numFmtId="0" fontId="12" fillId="2" borderId="0" xfId="3" applyFont="1" applyFill="1" applyAlignment="1">
      <alignment horizontal="left" vertical="center"/>
    </xf>
    <xf numFmtId="37" fontId="12" fillId="2" borderId="0" xfId="3" applyNumberFormat="1" applyFont="1" applyFill="1" applyAlignment="1">
      <alignment horizontal="right" vertical="center"/>
    </xf>
    <xf numFmtId="37" fontId="12" fillId="2" borderId="9" xfId="3" applyNumberFormat="1" applyFont="1" applyFill="1" applyBorder="1" applyAlignment="1">
      <alignment horizontal="right" vertical="center"/>
    </xf>
    <xf numFmtId="37" fontId="12" fillId="2" borderId="10" xfId="3" applyNumberFormat="1" applyFont="1" applyFill="1" applyBorder="1" applyAlignment="1">
      <alignment horizontal="right" vertical="center"/>
    </xf>
    <xf numFmtId="5" fontId="12" fillId="2" borderId="8" xfId="4" applyNumberFormat="1" applyFont="1" applyFill="1" applyBorder="1" applyAlignment="1">
      <alignment horizontal="center" vertical="center" shrinkToFit="1"/>
    </xf>
    <xf numFmtId="0" fontId="12" fillId="4" borderId="0" xfId="3" applyFont="1" applyFill="1"/>
    <xf numFmtId="0" fontId="11" fillId="5" borderId="0" xfId="3" applyFont="1" applyFill="1"/>
    <xf numFmtId="0" fontId="12" fillId="0" borderId="0" xfId="3" applyFont="1"/>
    <xf numFmtId="0" fontId="12" fillId="0" borderId="0" xfId="3" applyFont="1" applyAlignment="1">
      <alignment horizontal="center" vertical="center"/>
    </xf>
    <xf numFmtId="4" fontId="12" fillId="0" borderId="0" xfId="3" applyNumberFormat="1" applyFont="1" applyAlignment="1">
      <alignment horizontal="right" vertical="center"/>
    </xf>
    <xf numFmtId="0" fontId="12" fillId="0" borderId="0" xfId="3" applyFont="1" applyAlignment="1">
      <alignment horizontal="right" vertical="center"/>
    </xf>
    <xf numFmtId="37" fontId="12" fillId="2" borderId="0" xfId="3" applyNumberFormat="1" applyFont="1" applyFill="1" applyAlignment="1">
      <alignment horizontal="right"/>
    </xf>
    <xf numFmtId="37" fontId="12" fillId="2" borderId="9" xfId="3" applyNumberFormat="1" applyFont="1" applyFill="1" applyBorder="1" applyAlignment="1">
      <alignment horizontal="right"/>
    </xf>
    <xf numFmtId="37" fontId="12" fillId="2" borderId="10" xfId="3" applyNumberFormat="1" applyFont="1" applyFill="1" applyBorder="1" applyAlignment="1">
      <alignment horizontal="right"/>
    </xf>
    <xf numFmtId="7" fontId="11" fillId="0" borderId="0" xfId="3" applyNumberFormat="1" applyFont="1" applyAlignment="1">
      <alignment horizontal="center"/>
    </xf>
    <xf numFmtId="37" fontId="12" fillId="2" borderId="13" xfId="3" applyNumberFormat="1" applyFont="1" applyFill="1" applyBorder="1" applyAlignment="1">
      <alignment horizontal="right"/>
    </xf>
    <xf numFmtId="5" fontId="12" fillId="2" borderId="14" xfId="4" applyNumberFormat="1" applyFont="1" applyFill="1" applyBorder="1" applyAlignment="1">
      <alignment horizontal="center" vertical="center" shrinkToFit="1"/>
    </xf>
    <xf numFmtId="0" fontId="11" fillId="0" borderId="0" xfId="3" applyFont="1" applyAlignment="1">
      <alignment horizontal="right"/>
    </xf>
    <xf numFmtId="0" fontId="12" fillId="0" borderId="5" xfId="3" applyFont="1" applyBorder="1" applyAlignment="1">
      <alignment horizontal="center" vertical="center"/>
    </xf>
    <xf numFmtId="0" fontId="12" fillId="0" borderId="5" xfId="3" applyFont="1" applyBorder="1" applyAlignment="1">
      <alignment horizontal="left" vertical="center"/>
    </xf>
    <xf numFmtId="37" fontId="12" fillId="0" borderId="5" xfId="3" applyNumberFormat="1" applyFont="1" applyBorder="1" applyAlignment="1">
      <alignment horizontal="right" vertical="center"/>
    </xf>
    <xf numFmtId="37" fontId="12" fillId="0" borderId="6" xfId="3" applyNumberFormat="1" applyFont="1" applyBorder="1" applyAlignment="1">
      <alignment horizontal="right" vertical="center"/>
    </xf>
    <xf numFmtId="37" fontId="12" fillId="0" borderId="7" xfId="3" applyNumberFormat="1" applyFont="1" applyBorder="1" applyAlignment="1">
      <alignment horizontal="right" vertical="center"/>
    </xf>
    <xf numFmtId="5" fontId="12" fillId="0" borderId="8" xfId="4" applyNumberFormat="1" applyFont="1" applyBorder="1" applyAlignment="1">
      <alignment horizontal="center" vertical="center" shrinkToFit="1"/>
    </xf>
    <xf numFmtId="0" fontId="12" fillId="0" borderId="0" xfId="3" applyFont="1" applyAlignment="1">
      <alignment horizontal="left" vertical="center"/>
    </xf>
    <xf numFmtId="37" fontId="12" fillId="0" borderId="0" xfId="3" applyNumberFormat="1" applyFont="1" applyAlignment="1">
      <alignment horizontal="right" vertical="center"/>
    </xf>
    <xf numFmtId="37" fontId="12" fillId="0" borderId="9" xfId="3" applyNumberFormat="1" applyFont="1" applyBorder="1" applyAlignment="1">
      <alignment horizontal="right" vertical="center"/>
    </xf>
    <xf numFmtId="37" fontId="12" fillId="0" borderId="10" xfId="3" applyNumberFormat="1" applyFont="1" applyBorder="1" applyAlignment="1">
      <alignment horizontal="right" vertical="center"/>
    </xf>
    <xf numFmtId="5" fontId="9" fillId="2" borderId="11" xfId="4" applyNumberFormat="1" applyFont="1" applyFill="1" applyBorder="1" applyAlignment="1">
      <alignment horizontal="center" vertical="center" shrinkToFit="1"/>
    </xf>
    <xf numFmtId="0" fontId="5" fillId="0" borderId="0" xfId="0" applyFont="1" applyAlignment="1">
      <alignment horizontal="center"/>
    </xf>
    <xf numFmtId="0" fontId="14" fillId="2" borderId="0" xfId="0" applyFont="1" applyFill="1" applyAlignment="1">
      <alignment horizontal="left"/>
    </xf>
    <xf numFmtId="164" fontId="7" fillId="2" borderId="16" xfId="0" quotePrefix="1" applyNumberFormat="1" applyFont="1" applyFill="1" applyBorder="1" applyAlignment="1">
      <alignment horizontal="right" wrapText="1"/>
    </xf>
    <xf numFmtId="0" fontId="12" fillId="2" borderId="0" xfId="4" applyFont="1" applyFill="1" applyAlignment="1">
      <alignment horizontal="left" vertical="center"/>
    </xf>
    <xf numFmtId="5" fontId="11" fillId="2" borderId="17" xfId="4" applyNumberFormat="1" applyFont="1" applyFill="1" applyBorder="1" applyAlignment="1">
      <alignment horizontal="right" vertical="center" shrinkToFit="1"/>
    </xf>
    <xf numFmtId="0" fontId="15" fillId="6" borderId="0" xfId="4" applyFont="1" applyFill="1" applyAlignment="1">
      <alignment horizontal="left" vertical="center"/>
    </xf>
    <xf numFmtId="5" fontId="15" fillId="6" borderId="17" xfId="4" applyNumberFormat="1" applyFont="1" applyFill="1" applyBorder="1" applyAlignment="1">
      <alignment horizontal="right" vertical="center" shrinkToFit="1"/>
    </xf>
    <xf numFmtId="0" fontId="12" fillId="2" borderId="0" xfId="5" applyFont="1" applyFill="1" applyAlignment="1">
      <alignment horizontal="left" vertical="center"/>
    </xf>
    <xf numFmtId="0" fontId="14" fillId="2" borderId="0" xfId="4" applyFont="1" applyFill="1" applyAlignment="1">
      <alignment horizontal="left" vertical="center"/>
    </xf>
    <xf numFmtId="0" fontId="15" fillId="7" borderId="0" xfId="4" applyFont="1" applyFill="1" applyAlignment="1">
      <alignment horizontal="left" vertical="center"/>
    </xf>
    <xf numFmtId="5" fontId="15" fillId="7" borderId="17" xfId="4" applyNumberFormat="1" applyFont="1" applyFill="1" applyBorder="1" applyAlignment="1">
      <alignment horizontal="right" vertical="center" shrinkToFit="1"/>
    </xf>
    <xf numFmtId="0" fontId="13" fillId="2" borderId="0" xfId="4" applyFont="1" applyFill="1" applyAlignment="1">
      <alignment horizontal="left" vertical="center"/>
    </xf>
    <xf numFmtId="164" fontId="7" fillId="2" borderId="12" xfId="0" quotePrefix="1" applyNumberFormat="1" applyFont="1" applyFill="1" applyBorder="1" applyAlignment="1">
      <alignment horizontal="right" wrapText="1"/>
    </xf>
    <xf numFmtId="5" fontId="11" fillId="2" borderId="11" xfId="4" applyNumberFormat="1" applyFont="1" applyFill="1" applyBorder="1" applyAlignment="1">
      <alignment horizontal="right" vertical="center" shrinkToFit="1"/>
    </xf>
    <xf numFmtId="0" fontId="5" fillId="2" borderId="0" xfId="4" applyFont="1" applyFill="1" applyAlignment="1">
      <alignment horizontal="left" vertical="center"/>
    </xf>
    <xf numFmtId="0" fontId="15" fillId="8" borderId="0" xfId="4" applyFont="1" applyFill="1" applyAlignment="1">
      <alignment horizontal="left" vertical="center"/>
    </xf>
    <xf numFmtId="5" fontId="15" fillId="8" borderId="17" xfId="4" applyNumberFormat="1" applyFont="1" applyFill="1" applyBorder="1" applyAlignment="1">
      <alignment horizontal="right" vertical="center" shrinkToFit="1"/>
    </xf>
    <xf numFmtId="0" fontId="15" fillId="8" borderId="15" xfId="4" applyFont="1" applyFill="1" applyBorder="1" applyAlignment="1">
      <alignment horizontal="left" vertical="center"/>
    </xf>
    <xf numFmtId="5" fontId="15" fillId="8" borderId="12" xfId="4" applyNumberFormat="1" applyFont="1" applyFill="1" applyBorder="1" applyAlignment="1">
      <alignment horizontal="right" vertical="center" shrinkToFit="1"/>
    </xf>
    <xf numFmtId="0" fontId="15" fillId="8" borderId="19" xfId="4" applyFont="1" applyFill="1" applyBorder="1" applyAlignment="1">
      <alignment horizontal="left" vertical="center"/>
    </xf>
    <xf numFmtId="5" fontId="5" fillId="2" borderId="0" xfId="0" applyNumberFormat="1" applyFont="1" applyFill="1" applyAlignment="1">
      <alignment horizontal="center"/>
    </xf>
    <xf numFmtId="164" fontId="7" fillId="2" borderId="15" xfId="0" quotePrefix="1" applyNumberFormat="1" applyFont="1" applyFill="1" applyBorder="1" applyAlignment="1">
      <alignment horizontal="right" wrapText="1"/>
    </xf>
    <xf numFmtId="5" fontId="11" fillId="2" borderId="0" xfId="4" applyNumberFormat="1" applyFont="1" applyFill="1" applyAlignment="1">
      <alignment horizontal="right" vertical="center" shrinkToFit="1"/>
    </xf>
    <xf numFmtId="5" fontId="7" fillId="2" borderId="17" xfId="4" applyNumberFormat="1" applyFont="1" applyFill="1" applyBorder="1" applyAlignment="1">
      <alignment horizontal="right" vertical="center" shrinkToFit="1"/>
    </xf>
    <xf numFmtId="5" fontId="15" fillId="6" borderId="0" xfId="4" applyNumberFormat="1" applyFont="1" applyFill="1" applyAlignment="1">
      <alignment horizontal="right" vertical="center" shrinkToFit="1"/>
    </xf>
    <xf numFmtId="165" fontId="13" fillId="2" borderId="0" xfId="0" applyNumberFormat="1" applyFont="1" applyFill="1" applyAlignment="1">
      <alignment horizontal="right" wrapText="1"/>
    </xf>
    <xf numFmtId="165" fontId="13" fillId="2" borderId="17" xfId="0" applyNumberFormat="1" applyFont="1" applyFill="1" applyBorder="1" applyAlignment="1">
      <alignment horizontal="right" wrapText="1"/>
    </xf>
    <xf numFmtId="5" fontId="15" fillId="7" borderId="0" xfId="4" applyNumberFormat="1" applyFont="1" applyFill="1" applyAlignment="1">
      <alignment horizontal="right" vertical="center" shrinkToFit="1"/>
    </xf>
    <xf numFmtId="5" fontId="7" fillId="2" borderId="0" xfId="4" applyNumberFormat="1" applyFont="1" applyFill="1" applyAlignment="1">
      <alignment horizontal="right" vertical="center" shrinkToFit="1"/>
    </xf>
    <xf numFmtId="5" fontId="7" fillId="2" borderId="11" xfId="4" applyNumberFormat="1" applyFont="1" applyFill="1" applyBorder="1" applyAlignment="1">
      <alignment horizontal="right" vertical="center" shrinkToFit="1"/>
    </xf>
    <xf numFmtId="10" fontId="9" fillId="2" borderId="0" xfId="1" applyNumberFormat="1" applyFont="1" applyFill="1" applyBorder="1" applyAlignment="1">
      <alignment horizontal="right"/>
    </xf>
    <xf numFmtId="10" fontId="9" fillId="2" borderId="17" xfId="1" applyNumberFormat="1" applyFont="1" applyFill="1" applyBorder="1" applyAlignment="1">
      <alignment horizontal="right"/>
    </xf>
    <xf numFmtId="5" fontId="15" fillId="8" borderId="0" xfId="4" applyNumberFormat="1" applyFont="1" applyFill="1" applyAlignment="1">
      <alignment horizontal="right" vertical="center" shrinkToFit="1"/>
    </xf>
    <xf numFmtId="5" fontId="15" fillId="8" borderId="15" xfId="4" applyNumberFormat="1" applyFont="1" applyFill="1" applyBorder="1" applyAlignment="1">
      <alignment horizontal="right" vertical="center" shrinkToFit="1"/>
    </xf>
    <xf numFmtId="5" fontId="11" fillId="0" borderId="0" xfId="4" applyNumberFormat="1" applyFont="1" applyAlignment="1">
      <alignment horizontal="right" vertical="center" shrinkToFit="1"/>
    </xf>
    <xf numFmtId="5" fontId="15" fillId="0" borderId="0" xfId="4" applyNumberFormat="1" applyFont="1" applyAlignment="1">
      <alignment horizontal="right" vertical="center" shrinkToFit="1"/>
    </xf>
    <xf numFmtId="5" fontId="15" fillId="8" borderId="21" xfId="4" applyNumberFormat="1" applyFont="1" applyFill="1" applyBorder="1" applyAlignment="1">
      <alignment horizontal="right" vertical="center" shrinkToFit="1"/>
    </xf>
    <xf numFmtId="5" fontId="15" fillId="8" borderId="20" xfId="4" applyNumberFormat="1" applyFont="1" applyFill="1" applyBorder="1" applyAlignment="1">
      <alignment horizontal="right" vertical="center" shrinkToFit="1"/>
    </xf>
    <xf numFmtId="0" fontId="13" fillId="2" borderId="0" xfId="4" applyFont="1" applyFill="1" applyAlignment="1">
      <alignment horizontal="right" vertical="center"/>
    </xf>
    <xf numFmtId="10" fontId="13" fillId="2" borderId="43" xfId="0" applyNumberFormat="1" applyFont="1" applyFill="1" applyBorder="1" applyAlignment="1">
      <alignment horizontal="center"/>
    </xf>
    <xf numFmtId="10" fontId="13" fillId="2" borderId="44" xfId="0" applyNumberFormat="1" applyFont="1" applyFill="1" applyBorder="1" applyAlignment="1">
      <alignment horizontal="center"/>
    </xf>
    <xf numFmtId="10" fontId="13" fillId="2" borderId="42" xfId="0" applyNumberFormat="1" applyFont="1" applyFill="1" applyBorder="1" applyAlignment="1">
      <alignment horizontal="center"/>
    </xf>
    <xf numFmtId="10" fontId="5" fillId="2" borderId="42" xfId="0" applyNumberFormat="1" applyFont="1" applyFill="1" applyBorder="1" applyAlignment="1">
      <alignment horizontal="center"/>
    </xf>
    <xf numFmtId="0" fontId="18" fillId="0" borderId="0" xfId="0" applyFont="1"/>
    <xf numFmtId="0" fontId="21" fillId="2" borderId="35" xfId="0" quotePrefix="1" applyFont="1" applyFill="1" applyBorder="1"/>
    <xf numFmtId="0" fontId="19" fillId="8" borderId="19" xfId="0" applyFont="1" applyFill="1" applyBorder="1"/>
    <xf numFmtId="0" fontId="19" fillId="8" borderId="21" xfId="0" applyFont="1" applyFill="1" applyBorder="1" applyAlignment="1">
      <alignment horizontal="right"/>
    </xf>
    <xf numFmtId="0" fontId="19" fillId="8" borderId="18" xfId="0" applyFont="1" applyFill="1" applyBorder="1" applyAlignment="1">
      <alignment horizontal="right"/>
    </xf>
    <xf numFmtId="0" fontId="18" fillId="0" borderId="23" xfId="0" applyFont="1" applyBorder="1"/>
    <xf numFmtId="0" fontId="22" fillId="2" borderId="23" xfId="0" applyFont="1" applyFill="1" applyBorder="1"/>
    <xf numFmtId="5" fontId="24" fillId="2" borderId="24" xfId="0" applyNumberFormat="1" applyFont="1" applyFill="1" applyBorder="1" applyAlignment="1">
      <alignment horizontal="right"/>
    </xf>
    <xf numFmtId="0" fontId="21" fillId="2" borderId="0" xfId="0" applyFont="1" applyFill="1" applyAlignment="1">
      <alignment horizontal="left"/>
    </xf>
    <xf numFmtId="164" fontId="17" fillId="2" borderId="19" xfId="0" quotePrefix="1" applyNumberFormat="1" applyFont="1" applyFill="1" applyBorder="1" applyAlignment="1">
      <alignment horizontal="right" wrapText="1"/>
    </xf>
    <xf numFmtId="164" fontId="17" fillId="2" borderId="30" xfId="0" quotePrefix="1" applyNumberFormat="1" applyFont="1" applyFill="1" applyBorder="1" applyAlignment="1">
      <alignment horizontal="right" wrapText="1"/>
    </xf>
    <xf numFmtId="164" fontId="17" fillId="2" borderId="37" xfId="0" quotePrefix="1" applyNumberFormat="1" applyFont="1" applyFill="1" applyBorder="1" applyAlignment="1">
      <alignment horizontal="right" wrapText="1"/>
    </xf>
    <xf numFmtId="0" fontId="24" fillId="2" borderId="0" xfId="4" applyFont="1" applyFill="1" applyAlignment="1">
      <alignment horizontal="left" vertical="center"/>
    </xf>
    <xf numFmtId="5" fontId="24" fillId="2" borderId="23" xfId="4" applyNumberFormat="1" applyFont="1" applyFill="1" applyBorder="1" applyAlignment="1">
      <alignment horizontal="right" vertical="center" shrinkToFit="1"/>
    </xf>
    <xf numFmtId="5" fontId="24" fillId="2" borderId="31" xfId="4" applyNumberFormat="1" applyFont="1" applyFill="1" applyBorder="1" applyAlignment="1">
      <alignment horizontal="right" vertical="center" shrinkToFit="1"/>
    </xf>
    <xf numFmtId="5" fontId="24" fillId="2" borderId="38" xfId="4" applyNumberFormat="1" applyFont="1" applyFill="1" applyBorder="1" applyAlignment="1">
      <alignment horizontal="right" vertical="center" shrinkToFit="1"/>
    </xf>
    <xf numFmtId="10" fontId="24" fillId="2" borderId="31" xfId="1" applyNumberFormat="1" applyFont="1" applyFill="1" applyBorder="1" applyAlignment="1">
      <alignment horizontal="right" vertical="center" shrinkToFit="1"/>
    </xf>
    <xf numFmtId="0" fontId="22" fillId="2" borderId="27" xfId="0" applyFont="1" applyFill="1" applyBorder="1"/>
    <xf numFmtId="5" fontId="24" fillId="2" borderId="29" xfId="0" applyNumberFormat="1" applyFont="1" applyFill="1" applyBorder="1" applyAlignment="1">
      <alignment horizontal="right"/>
    </xf>
    <xf numFmtId="0" fontId="18" fillId="0" borderId="27" xfId="0" applyFont="1" applyBorder="1"/>
    <xf numFmtId="0" fontId="19" fillId="6" borderId="0" xfId="4" applyFont="1" applyFill="1" applyAlignment="1">
      <alignment horizontal="left" vertical="center"/>
    </xf>
    <xf numFmtId="5" fontId="19" fillId="6" borderId="23" xfId="4" applyNumberFormat="1" applyFont="1" applyFill="1" applyBorder="1" applyAlignment="1">
      <alignment horizontal="right" vertical="center" shrinkToFit="1"/>
    </xf>
    <xf numFmtId="5" fontId="19" fillId="6" borderId="31" xfId="4" applyNumberFormat="1" applyFont="1" applyFill="1" applyBorder="1" applyAlignment="1">
      <alignment horizontal="right" vertical="center" shrinkToFit="1"/>
    </xf>
    <xf numFmtId="5" fontId="19" fillId="6" borderId="38" xfId="4" applyNumberFormat="1" applyFont="1" applyFill="1" applyBorder="1" applyAlignment="1">
      <alignment horizontal="right" vertical="center" shrinkToFit="1"/>
    </xf>
    <xf numFmtId="0" fontId="24" fillId="2" borderId="0" xfId="5" applyFont="1" applyFill="1" applyAlignment="1">
      <alignment horizontal="left" vertical="center"/>
    </xf>
    <xf numFmtId="2" fontId="24" fillId="2" borderId="31" xfId="6" applyNumberFormat="1" applyFont="1" applyFill="1" applyBorder="1" applyAlignment="1">
      <alignment horizontal="right" vertical="center" shrinkToFit="1"/>
    </xf>
    <xf numFmtId="0" fontId="22" fillId="2" borderId="25" xfId="0" applyFont="1" applyFill="1" applyBorder="1"/>
    <xf numFmtId="5" fontId="24" fillId="2" borderId="26" xfId="0" applyNumberFormat="1" applyFont="1" applyFill="1" applyBorder="1" applyAlignment="1">
      <alignment horizontal="right"/>
    </xf>
    <xf numFmtId="0" fontId="17" fillId="2" borderId="23" xfId="0" applyFont="1" applyFill="1" applyBorder="1"/>
    <xf numFmtId="5" fontId="17" fillId="2" borderId="24" xfId="0" applyNumberFormat="1" applyFont="1" applyFill="1" applyBorder="1" applyAlignment="1">
      <alignment horizontal="right"/>
    </xf>
    <xf numFmtId="0" fontId="21" fillId="2" borderId="0" xfId="4" applyFont="1" applyFill="1" applyAlignment="1">
      <alignment horizontal="left" vertical="center"/>
    </xf>
    <xf numFmtId="165" fontId="18" fillId="2" borderId="23" xfId="0" applyNumberFormat="1" applyFont="1" applyFill="1" applyBorder="1" applyAlignment="1">
      <alignment horizontal="right" wrapText="1"/>
    </xf>
    <xf numFmtId="165" fontId="18" fillId="2" borderId="31" xfId="0" applyNumberFormat="1" applyFont="1" applyFill="1" applyBorder="1" applyAlignment="1">
      <alignment horizontal="right" wrapText="1"/>
    </xf>
    <xf numFmtId="165" fontId="18" fillId="2" borderId="38" xfId="0" applyNumberFormat="1" applyFont="1" applyFill="1" applyBorder="1" applyAlignment="1">
      <alignment horizontal="right" wrapText="1"/>
    </xf>
    <xf numFmtId="0" fontId="18" fillId="0" borderId="15" xfId="0" applyFont="1" applyBorder="1"/>
    <xf numFmtId="5" fontId="24" fillId="0" borderId="23" xfId="4" applyNumberFormat="1" applyFont="1" applyBorder="1" applyAlignment="1">
      <alignment horizontal="right" vertical="center" shrinkToFit="1"/>
    </xf>
    <xf numFmtId="0" fontId="17" fillId="2" borderId="25" xfId="0" applyFont="1" applyFill="1" applyBorder="1" applyAlignment="1">
      <alignment horizontal="right"/>
    </xf>
    <xf numFmtId="5" fontId="18" fillId="0" borderId="15" xfId="0" applyNumberFormat="1" applyFont="1" applyBorder="1"/>
    <xf numFmtId="0" fontId="23" fillId="0" borderId="15" xfId="0" applyFont="1" applyBorder="1" applyAlignment="1">
      <alignment horizontal="right"/>
    </xf>
    <xf numFmtId="5" fontId="23" fillId="0" borderId="26" xfId="0" applyNumberFormat="1" applyFont="1" applyBorder="1"/>
    <xf numFmtId="0" fontId="18" fillId="0" borderId="25" xfId="0" applyFont="1" applyBorder="1"/>
    <xf numFmtId="0" fontId="26" fillId="2" borderId="25" xfId="0" applyFont="1" applyFill="1" applyBorder="1" applyAlignment="1">
      <alignment horizontal="right"/>
    </xf>
    <xf numFmtId="5" fontId="25" fillId="0" borderId="15" xfId="0" applyNumberFormat="1" applyFont="1" applyBorder="1"/>
    <xf numFmtId="0" fontId="27" fillId="0" borderId="15" xfId="0" applyFont="1" applyBorder="1" applyAlignment="1">
      <alignment horizontal="right"/>
    </xf>
    <xf numFmtId="5" fontId="27" fillId="0" borderId="26" xfId="0" applyNumberFormat="1" applyFont="1" applyBorder="1"/>
    <xf numFmtId="14" fontId="22" fillId="0" borderId="0" xfId="0" applyNumberFormat="1" applyFont="1"/>
    <xf numFmtId="0" fontId="18" fillId="0" borderId="0" xfId="0" applyFont="1" applyAlignment="1">
      <alignment horizontal="right"/>
    </xf>
    <xf numFmtId="166" fontId="18" fillId="0" borderId="0" xfId="0" applyNumberFormat="1" applyFont="1"/>
    <xf numFmtId="0" fontId="23" fillId="0" borderId="0" xfId="0" applyFont="1" applyAlignment="1">
      <alignment horizontal="right"/>
    </xf>
    <xf numFmtId="0" fontId="25" fillId="2" borderId="27" xfId="0" applyFont="1" applyFill="1" applyBorder="1" applyAlignment="1">
      <alignment horizontal="left" indent="2"/>
    </xf>
    <xf numFmtId="5" fontId="28" fillId="2" borderId="29" xfId="0" applyNumberFormat="1" applyFont="1" applyFill="1" applyBorder="1" applyAlignment="1">
      <alignment horizontal="right"/>
    </xf>
    <xf numFmtId="167" fontId="24" fillId="2" borderId="31" xfId="1" applyNumberFormat="1" applyFont="1" applyFill="1" applyBorder="1" applyAlignment="1">
      <alignment horizontal="right" vertical="center" shrinkToFit="1"/>
    </xf>
    <xf numFmtId="0" fontId="23" fillId="2" borderId="23" xfId="0" applyFont="1" applyFill="1" applyBorder="1"/>
    <xf numFmtId="168" fontId="18" fillId="2" borderId="0" xfId="0" applyNumberFormat="1" applyFont="1" applyFill="1" applyAlignment="1">
      <alignment horizontal="right"/>
    </xf>
    <xf numFmtId="166" fontId="18" fillId="0" borderId="45" xfId="0" applyNumberFormat="1" applyFont="1" applyBorder="1"/>
    <xf numFmtId="0" fontId="19" fillId="7" borderId="0" xfId="4" applyFont="1" applyFill="1" applyAlignment="1">
      <alignment horizontal="left" vertical="center"/>
    </xf>
    <xf numFmtId="5" fontId="19" fillId="7" borderId="23" xfId="4" applyNumberFormat="1" applyFont="1" applyFill="1" applyBorder="1" applyAlignment="1">
      <alignment horizontal="right" vertical="center" shrinkToFit="1"/>
    </xf>
    <xf numFmtId="5" fontId="19" fillId="7" borderId="31" xfId="4" applyNumberFormat="1" applyFont="1" applyFill="1" applyBorder="1" applyAlignment="1">
      <alignment horizontal="right" vertical="center" shrinkToFit="1"/>
    </xf>
    <xf numFmtId="5" fontId="19" fillId="7" borderId="38" xfId="4" applyNumberFormat="1" applyFont="1" applyFill="1" applyBorder="1" applyAlignment="1">
      <alignment horizontal="right" vertical="center" shrinkToFit="1"/>
    </xf>
    <xf numFmtId="0" fontId="23" fillId="0" borderId="0" xfId="0" applyFont="1"/>
    <xf numFmtId="0" fontId="23" fillId="2" borderId="0" xfId="4" applyFont="1" applyFill="1" applyAlignment="1">
      <alignment horizontal="left" vertical="center"/>
    </xf>
    <xf numFmtId="0" fontId="29" fillId="0" borderId="15" xfId="0" applyFont="1" applyBorder="1"/>
    <xf numFmtId="0" fontId="23" fillId="0" borderId="15" xfId="0" applyFont="1" applyBorder="1"/>
    <xf numFmtId="10" fontId="22" fillId="9" borderId="24" xfId="1" applyNumberFormat="1" applyFont="1" applyFill="1" applyBorder="1"/>
    <xf numFmtId="164" fontId="17" fillId="2" borderId="25" xfId="0" quotePrefix="1" applyNumberFormat="1" applyFont="1" applyFill="1" applyBorder="1" applyAlignment="1">
      <alignment horizontal="right" wrapText="1"/>
    </xf>
    <xf numFmtId="164" fontId="17" fillId="2" borderId="32" xfId="0" quotePrefix="1" applyNumberFormat="1" applyFont="1" applyFill="1" applyBorder="1" applyAlignment="1">
      <alignment horizontal="right" wrapText="1"/>
    </xf>
    <xf numFmtId="164" fontId="17" fillId="2" borderId="39" xfId="0" quotePrefix="1" applyNumberFormat="1" applyFont="1" applyFill="1" applyBorder="1" applyAlignment="1">
      <alignment horizontal="right" wrapText="1"/>
    </xf>
    <xf numFmtId="10" fontId="18" fillId="0" borderId="0" xfId="0" applyNumberFormat="1" applyFont="1"/>
    <xf numFmtId="5" fontId="24" fillId="0" borderId="22" xfId="4" applyNumberFormat="1" applyFont="1" applyBorder="1" applyAlignment="1">
      <alignment horizontal="right" vertical="center" shrinkToFit="1"/>
    </xf>
    <xf numFmtId="5" fontId="24" fillId="2" borderId="22" xfId="4" applyNumberFormat="1" applyFont="1" applyFill="1" applyBorder="1" applyAlignment="1">
      <alignment horizontal="right" vertical="center" shrinkToFit="1"/>
    </xf>
    <xf numFmtId="5" fontId="24" fillId="0" borderId="31" xfId="4" applyNumberFormat="1" applyFont="1" applyBorder="1" applyAlignment="1">
      <alignment horizontal="right" vertical="center" shrinkToFit="1"/>
    </xf>
    <xf numFmtId="0" fontId="18" fillId="0" borderId="40" xfId="0" applyFont="1" applyBorder="1"/>
    <xf numFmtId="10" fontId="18" fillId="0" borderId="40" xfId="0" applyNumberFormat="1" applyFont="1" applyBorder="1"/>
    <xf numFmtId="10" fontId="22" fillId="9" borderId="26" xfId="1" applyNumberFormat="1" applyFont="1" applyFill="1" applyBorder="1"/>
    <xf numFmtId="169" fontId="24" fillId="0" borderId="15" xfId="0" applyNumberFormat="1" applyFont="1" applyBorder="1"/>
    <xf numFmtId="0" fontId="31" fillId="2" borderId="0" xfId="0" applyFont="1" applyFill="1" applyAlignment="1">
      <alignment horizontal="center"/>
    </xf>
    <xf numFmtId="10" fontId="24" fillId="2" borderId="23" xfId="1" applyNumberFormat="1" applyFont="1" applyFill="1" applyBorder="1" applyAlignment="1">
      <alignment horizontal="right"/>
    </xf>
    <xf numFmtId="10" fontId="24" fillId="2" borderId="31" xfId="1" applyNumberFormat="1" applyFont="1" applyFill="1" applyBorder="1" applyAlignment="1">
      <alignment horizontal="right"/>
    </xf>
    <xf numFmtId="10" fontId="28" fillId="2" borderId="31" xfId="1" applyNumberFormat="1" applyFont="1" applyFill="1" applyBorder="1" applyAlignment="1">
      <alignment horizontal="right" vertical="top"/>
    </xf>
    <xf numFmtId="10" fontId="24" fillId="2" borderId="38" xfId="1" applyNumberFormat="1" applyFont="1" applyFill="1" applyBorder="1" applyAlignment="1">
      <alignment horizontal="right"/>
    </xf>
    <xf numFmtId="166" fontId="23" fillId="0" borderId="0" xfId="0" applyNumberFormat="1" applyFont="1"/>
    <xf numFmtId="37" fontId="19" fillId="8" borderId="18" xfId="0" applyNumberFormat="1" applyFont="1" applyFill="1" applyBorder="1" applyAlignment="1">
      <alignment horizontal="right"/>
    </xf>
    <xf numFmtId="166" fontId="18" fillId="0" borderId="15" xfId="0" applyNumberFormat="1" applyFont="1" applyBorder="1"/>
    <xf numFmtId="0" fontId="18" fillId="2" borderId="23" xfId="0" applyFont="1" applyFill="1" applyBorder="1"/>
    <xf numFmtId="0" fontId="23" fillId="0" borderId="21" xfId="0" applyFont="1" applyBorder="1"/>
    <xf numFmtId="166" fontId="23" fillId="0" borderId="21" xfId="0" applyNumberFormat="1" applyFont="1" applyBorder="1"/>
    <xf numFmtId="0" fontId="32" fillId="2" borderId="23" xfId="0" applyFont="1" applyFill="1" applyBorder="1"/>
    <xf numFmtId="10" fontId="18" fillId="0" borderId="15" xfId="0" applyNumberFormat="1" applyFont="1" applyBorder="1"/>
    <xf numFmtId="6" fontId="23" fillId="2" borderId="24" xfId="0" applyNumberFormat="1" applyFont="1" applyFill="1" applyBorder="1"/>
    <xf numFmtId="0" fontId="18" fillId="0" borderId="24" xfId="0" applyFont="1" applyBorder="1"/>
    <xf numFmtId="0" fontId="25" fillId="0" borderId="0" xfId="0" applyFont="1" applyAlignment="1">
      <alignment horizontal="right" vertical="top"/>
    </xf>
    <xf numFmtId="0" fontId="21" fillId="0" borderId="0" xfId="0" applyFont="1"/>
    <xf numFmtId="0" fontId="18" fillId="2" borderId="0" xfId="4" applyFont="1" applyFill="1" applyAlignment="1">
      <alignment horizontal="left" vertical="center"/>
    </xf>
    <xf numFmtId="168" fontId="18" fillId="2" borderId="15" xfId="0" applyNumberFormat="1" applyFont="1" applyFill="1" applyBorder="1" applyAlignment="1">
      <alignment horizontal="right"/>
    </xf>
    <xf numFmtId="0" fontId="19" fillId="8" borderId="0" xfId="4" applyFont="1" applyFill="1" applyAlignment="1">
      <alignment horizontal="left" vertical="center"/>
    </xf>
    <xf numFmtId="5" fontId="19" fillId="8" borderId="23" xfId="4" applyNumberFormat="1" applyFont="1" applyFill="1" applyBorder="1" applyAlignment="1">
      <alignment horizontal="right" vertical="center" shrinkToFit="1"/>
    </xf>
    <xf numFmtId="5" fontId="19" fillId="8" borderId="31" xfId="4" applyNumberFormat="1" applyFont="1" applyFill="1" applyBorder="1" applyAlignment="1">
      <alignment horizontal="right" vertical="center" shrinkToFit="1"/>
    </xf>
    <xf numFmtId="5" fontId="19" fillId="8" borderId="38" xfId="4" applyNumberFormat="1" applyFont="1" applyFill="1" applyBorder="1" applyAlignment="1">
      <alignment horizontal="right" vertical="center" shrinkToFit="1"/>
    </xf>
    <xf numFmtId="10" fontId="25" fillId="0" borderId="0" xfId="1" applyNumberFormat="1" applyFont="1" applyBorder="1" applyAlignment="1">
      <alignment horizontal="right" vertical="top"/>
    </xf>
    <xf numFmtId="0" fontId="19" fillId="8" borderId="15" xfId="4" applyFont="1" applyFill="1" applyBorder="1" applyAlignment="1">
      <alignment horizontal="left" vertical="center"/>
    </xf>
    <xf numFmtId="5" fontId="19" fillId="8" borderId="25" xfId="4" applyNumberFormat="1" applyFont="1" applyFill="1" applyBorder="1" applyAlignment="1">
      <alignment horizontal="right" vertical="center" shrinkToFit="1"/>
    </xf>
    <xf numFmtId="5" fontId="19" fillId="8" borderId="32" xfId="4" applyNumberFormat="1" applyFont="1" applyFill="1" applyBorder="1" applyAlignment="1">
      <alignment horizontal="right" vertical="center" shrinkToFit="1"/>
    </xf>
    <xf numFmtId="5" fontId="19" fillId="8" borderId="39" xfId="4" applyNumberFormat="1" applyFont="1" applyFill="1" applyBorder="1" applyAlignment="1">
      <alignment horizontal="right" vertical="center" shrinkToFit="1"/>
    </xf>
    <xf numFmtId="168" fontId="18" fillId="0" borderId="0" xfId="0" applyNumberFormat="1" applyFont="1" applyAlignment="1">
      <alignment horizontal="right"/>
    </xf>
    <xf numFmtId="5" fontId="18" fillId="2" borderId="0" xfId="0" applyNumberFormat="1" applyFont="1" applyFill="1" applyAlignment="1">
      <alignment horizontal="center"/>
    </xf>
    <xf numFmtId="37" fontId="17" fillId="0" borderId="11" xfId="0" applyNumberFormat="1" applyFont="1" applyBorder="1" applyAlignment="1">
      <alignment horizontal="right"/>
    </xf>
    <xf numFmtId="0" fontId="18" fillId="0" borderId="0" xfId="0" applyFont="1" applyAlignment="1">
      <alignment horizontal="center"/>
    </xf>
    <xf numFmtId="5" fontId="17" fillId="0" borderId="17" xfId="0" applyNumberFormat="1" applyFont="1" applyBorder="1" applyAlignment="1">
      <alignment horizontal="right"/>
    </xf>
    <xf numFmtId="5" fontId="17" fillId="0" borderId="12" xfId="0" applyNumberFormat="1" applyFont="1" applyBorder="1" applyAlignment="1">
      <alignment horizontal="right"/>
    </xf>
    <xf numFmtId="0" fontId="34" fillId="2" borderId="19" xfId="0" applyFont="1" applyFill="1" applyBorder="1"/>
    <xf numFmtId="6" fontId="34" fillId="2" borderId="18" xfId="0" applyNumberFormat="1" applyFont="1" applyFill="1" applyBorder="1"/>
    <xf numFmtId="0" fontId="25" fillId="0" borderId="25" xfId="0" applyFont="1" applyBorder="1"/>
    <xf numFmtId="10" fontId="25" fillId="0" borderId="15" xfId="1" applyNumberFormat="1" applyFont="1" applyBorder="1"/>
    <xf numFmtId="10" fontId="25" fillId="0" borderId="18" xfId="1" applyNumberFormat="1" applyFont="1" applyBorder="1"/>
    <xf numFmtId="10" fontId="27" fillId="0" borderId="26" xfId="1" applyNumberFormat="1" applyFont="1" applyBorder="1"/>
    <xf numFmtId="0" fontId="31" fillId="2" borderId="19" xfId="0" applyFont="1" applyFill="1" applyBorder="1" applyAlignment="1">
      <alignment horizontal="left"/>
    </xf>
    <xf numFmtId="167" fontId="31" fillId="2" borderId="26" xfId="1" applyNumberFormat="1" applyFont="1" applyFill="1" applyBorder="1"/>
    <xf numFmtId="10" fontId="18" fillId="0" borderId="0" xfId="1" applyNumberFormat="1" applyFont="1"/>
    <xf numFmtId="166" fontId="18" fillId="0" borderId="24" xfId="0" applyNumberFormat="1" applyFont="1" applyBorder="1"/>
    <xf numFmtId="0" fontId="18" fillId="0" borderId="41" xfId="0" applyFont="1" applyBorder="1"/>
    <xf numFmtId="10" fontId="22" fillId="0" borderId="15" xfId="0" applyNumberFormat="1" applyFont="1" applyBorder="1"/>
    <xf numFmtId="166" fontId="18" fillId="0" borderId="26" xfId="0" applyNumberFormat="1" applyFont="1" applyBorder="1"/>
    <xf numFmtId="0" fontId="23" fillId="0" borderId="25" xfId="0" applyFont="1" applyBorder="1"/>
    <xf numFmtId="166" fontId="23" fillId="0" borderId="26" xfId="0" applyNumberFormat="1" applyFont="1" applyBorder="1"/>
    <xf numFmtId="0" fontId="23" fillId="0" borderId="23" xfId="0" applyFont="1" applyBorder="1"/>
    <xf numFmtId="10" fontId="22" fillId="0" borderId="0" xfId="0" applyNumberFormat="1" applyFont="1"/>
    <xf numFmtId="10" fontId="24" fillId="0" borderId="0" xfId="0" applyNumberFormat="1" applyFont="1"/>
    <xf numFmtId="167" fontId="25" fillId="0" borderId="0" xfId="1" applyNumberFormat="1" applyFont="1" applyAlignment="1">
      <alignment horizontal="right" vertical="top"/>
    </xf>
    <xf numFmtId="0" fontId="22" fillId="0" borderId="0" xfId="0" applyFont="1"/>
    <xf numFmtId="37" fontId="22" fillId="0" borderId="0" xfId="0" applyNumberFormat="1" applyFont="1" applyAlignment="1">
      <alignment horizontal="right"/>
    </xf>
    <xf numFmtId="5" fontId="22" fillId="0" borderId="0" xfId="0" applyNumberFormat="1" applyFont="1" applyAlignment="1">
      <alignment horizontal="right"/>
    </xf>
    <xf numFmtId="5" fontId="22" fillId="0" borderId="15" xfId="0" applyNumberFormat="1" applyFont="1" applyBorder="1" applyAlignment="1">
      <alignment horizontal="right"/>
    </xf>
    <xf numFmtId="167" fontId="33" fillId="0" borderId="24" xfId="1" applyNumberFormat="1" applyFont="1" applyFill="1" applyBorder="1"/>
    <xf numFmtId="7" fontId="18" fillId="0" borderId="0" xfId="0" applyNumberFormat="1" applyFont="1"/>
    <xf numFmtId="10" fontId="18" fillId="0" borderId="26" xfId="1" applyNumberFormat="1" applyFont="1" applyFill="1" applyBorder="1"/>
    <xf numFmtId="0" fontId="21" fillId="2" borderId="34" xfId="0" applyFont="1" applyFill="1" applyBorder="1" applyAlignment="1">
      <alignment horizontal="centerContinuous"/>
    </xf>
    <xf numFmtId="0" fontId="21" fillId="2" borderId="35" xfId="0" applyFont="1" applyFill="1" applyBorder="1" applyAlignment="1">
      <alignment horizontal="centerContinuous"/>
    </xf>
    <xf numFmtId="0" fontId="21" fillId="0" borderId="34" xfId="0" applyFont="1" applyBorder="1" applyAlignment="1">
      <alignment horizontal="centerContinuous"/>
    </xf>
    <xf numFmtId="0" fontId="21" fillId="0" borderId="35" xfId="0" applyFont="1" applyBorder="1" applyAlignment="1">
      <alignment horizontal="centerContinuous"/>
    </xf>
    <xf numFmtId="10" fontId="23" fillId="2" borderId="33" xfId="1" applyNumberFormat="1" applyFont="1" applyFill="1" applyBorder="1" applyAlignment="1">
      <alignment horizontal="centerContinuous"/>
    </xf>
    <xf numFmtId="10" fontId="23" fillId="2" borderId="36" xfId="1" applyNumberFormat="1" applyFont="1" applyFill="1" applyBorder="1" applyAlignment="1">
      <alignment horizontal="centerContinuous"/>
    </xf>
    <xf numFmtId="0" fontId="21" fillId="0" borderId="0" xfId="0" applyFont="1" applyAlignment="1">
      <alignment horizontal="center"/>
    </xf>
    <xf numFmtId="10" fontId="18" fillId="0" borderId="0" xfId="0" applyNumberFormat="1" applyFont="1" applyAlignment="1">
      <alignment horizontal="center"/>
    </xf>
    <xf numFmtId="14" fontId="22" fillId="9" borderId="29" xfId="0" applyNumberFormat="1" applyFont="1" applyFill="1" applyBorder="1"/>
    <xf numFmtId="0" fontId="22" fillId="9" borderId="24" xfId="0" applyFont="1" applyFill="1" applyBorder="1" applyAlignment="1">
      <alignment horizontal="right"/>
    </xf>
    <xf numFmtId="0" fontId="22" fillId="10" borderId="24" xfId="0" applyFont="1" applyFill="1" applyBorder="1" applyAlignment="1">
      <alignment horizontal="right"/>
    </xf>
    <xf numFmtId="37" fontId="22" fillId="9" borderId="24" xfId="0" applyNumberFormat="1" applyFont="1" applyFill="1" applyBorder="1" applyAlignment="1">
      <alignment horizontal="right"/>
    </xf>
    <xf numFmtId="37" fontId="22" fillId="9" borderId="29" xfId="0" applyNumberFormat="1" applyFont="1" applyFill="1" applyBorder="1" applyAlignment="1">
      <alignment horizontal="right"/>
    </xf>
    <xf numFmtId="5" fontId="22" fillId="10" borderId="28" xfId="0" applyNumberFormat="1" applyFont="1" applyFill="1" applyBorder="1" applyAlignment="1">
      <alignment horizontal="right"/>
    </xf>
    <xf numFmtId="5" fontId="29" fillId="9" borderId="24" xfId="0" applyNumberFormat="1" applyFont="1" applyFill="1" applyBorder="1" applyAlignment="1">
      <alignment horizontal="right"/>
    </xf>
    <xf numFmtId="10" fontId="29" fillId="9" borderId="24" xfId="1" applyNumberFormat="1" applyFont="1" applyFill="1" applyBorder="1"/>
    <xf numFmtId="10" fontId="22" fillId="9" borderId="24" xfId="0" applyNumberFormat="1" applyFont="1" applyFill="1" applyBorder="1"/>
    <xf numFmtId="10" fontId="22" fillId="9" borderId="29" xfId="1" applyNumberFormat="1" applyFont="1" applyFill="1" applyBorder="1"/>
    <xf numFmtId="10" fontId="22" fillId="9" borderId="24" xfId="1" applyNumberFormat="1" applyFont="1" applyFill="1" applyBorder="1" applyAlignment="1">
      <alignment horizontal="right"/>
    </xf>
    <xf numFmtId="0" fontId="22" fillId="9" borderId="23" xfId="0" applyFont="1" applyFill="1" applyBorder="1"/>
    <xf numFmtId="6" fontId="22" fillId="9" borderId="24" xfId="0" applyNumberFormat="1" applyFont="1" applyFill="1" applyBorder="1" applyAlignment="1">
      <alignment horizontal="right"/>
    </xf>
    <xf numFmtId="167" fontId="33" fillId="9" borderId="24" xfId="1" applyNumberFormat="1" applyFont="1" applyFill="1" applyBorder="1"/>
    <xf numFmtId="0" fontId="22" fillId="9" borderId="0" xfId="0" applyFont="1" applyFill="1"/>
    <xf numFmtId="10" fontId="22" fillId="9" borderId="0" xfId="1" applyNumberFormat="1" applyFont="1" applyFill="1"/>
    <xf numFmtId="166" fontId="22" fillId="9" borderId="0" xfId="0" applyNumberFormat="1" applyFont="1" applyFill="1"/>
    <xf numFmtId="10" fontId="22" fillId="9" borderId="40" xfId="1" applyNumberFormat="1" applyFont="1" applyFill="1" applyBorder="1"/>
    <xf numFmtId="169" fontId="22" fillId="9" borderId="15" xfId="0" applyNumberFormat="1" applyFont="1" applyFill="1" applyBorder="1"/>
    <xf numFmtId="166" fontId="22" fillId="9" borderId="15" xfId="0" applyNumberFormat="1" applyFont="1" applyFill="1" applyBorder="1"/>
    <xf numFmtId="10" fontId="22" fillId="9" borderId="15" xfId="1" applyNumberFormat="1" applyFont="1" applyFill="1" applyBorder="1"/>
    <xf numFmtId="0" fontId="22" fillId="10" borderId="26" xfId="0" applyFont="1" applyFill="1" applyBorder="1" applyAlignment="1">
      <alignment horizontal="right"/>
    </xf>
    <xf numFmtId="10" fontId="30" fillId="9" borderId="0" xfId="0" applyNumberFormat="1" applyFont="1" applyFill="1"/>
    <xf numFmtId="10" fontId="22" fillId="9" borderId="0" xfId="0" applyNumberFormat="1" applyFont="1" applyFill="1"/>
    <xf numFmtId="37" fontId="22" fillId="9" borderId="0" xfId="0" applyNumberFormat="1" applyFont="1" applyFill="1" applyAlignment="1">
      <alignment horizontal="right"/>
    </xf>
    <xf numFmtId="5" fontId="22" fillId="9" borderId="0" xfId="0" applyNumberFormat="1" applyFont="1" applyFill="1" applyAlignment="1">
      <alignment horizontal="right"/>
    </xf>
    <xf numFmtId="5" fontId="22" fillId="9" borderId="15" xfId="0" applyNumberFormat="1" applyFont="1" applyFill="1" applyBorder="1" applyAlignment="1">
      <alignment horizontal="right"/>
    </xf>
    <xf numFmtId="166" fontId="22" fillId="9" borderId="24" xfId="0" applyNumberFormat="1" applyFont="1" applyFill="1" applyBorder="1"/>
    <xf numFmtId="166" fontId="22" fillId="9" borderId="29" xfId="0" applyNumberFormat="1" applyFont="1" applyFill="1" applyBorder="1"/>
    <xf numFmtId="5" fontId="22" fillId="9" borderId="31" xfId="4" applyNumberFormat="1" applyFont="1" applyFill="1" applyBorder="1" applyAlignment="1">
      <alignment horizontal="right" vertical="center" shrinkToFit="1"/>
    </xf>
    <xf numFmtId="10" fontId="22" fillId="9" borderId="31" xfId="1" applyNumberFormat="1" applyFont="1" applyFill="1" applyBorder="1" applyAlignment="1">
      <alignment horizontal="right" vertical="center" shrinkToFit="1"/>
    </xf>
    <xf numFmtId="10" fontId="22" fillId="9" borderId="38" xfId="1" applyNumberFormat="1" applyFont="1" applyFill="1" applyBorder="1" applyAlignment="1">
      <alignment horizontal="right" vertical="center" shrinkToFit="1"/>
    </xf>
    <xf numFmtId="2" fontId="22" fillId="9" borderId="38" xfId="6" applyNumberFormat="1" applyFont="1" applyFill="1" applyBorder="1" applyAlignment="1">
      <alignment horizontal="right" vertical="center" shrinkToFit="1"/>
    </xf>
    <xf numFmtId="167" fontId="22" fillId="9" borderId="31" xfId="1" applyNumberFormat="1" applyFont="1" applyFill="1" applyBorder="1" applyAlignment="1">
      <alignment horizontal="right" vertical="center" shrinkToFit="1"/>
    </xf>
    <xf numFmtId="5" fontId="22" fillId="9" borderId="23" xfId="4" applyNumberFormat="1" applyFont="1" applyFill="1" applyBorder="1" applyAlignment="1">
      <alignment horizontal="right" vertical="center" shrinkToFit="1"/>
    </xf>
    <xf numFmtId="0" fontId="22" fillId="0" borderId="23" xfId="0" applyFont="1" applyBorder="1"/>
    <xf numFmtId="37" fontId="22" fillId="0" borderId="24" xfId="0" applyNumberFormat="1" applyFont="1" applyBorder="1" applyAlignment="1">
      <alignment horizontal="right"/>
    </xf>
    <xf numFmtId="6" fontId="22" fillId="0" borderId="24" xfId="0" applyNumberFormat="1" applyFont="1" applyBorder="1" applyAlignment="1">
      <alignment horizontal="right"/>
    </xf>
    <xf numFmtId="0" fontId="32" fillId="0" borderId="23" xfId="0" applyFont="1" applyBorder="1"/>
    <xf numFmtId="6" fontId="23" fillId="0" borderId="24" xfId="0" applyNumberFormat="1" applyFont="1" applyBorder="1"/>
    <xf numFmtId="0" fontId="31" fillId="0" borderId="23" xfId="0" applyFont="1" applyBorder="1"/>
    <xf numFmtId="0" fontId="31" fillId="0" borderId="24" xfId="0" applyFont="1" applyBorder="1"/>
    <xf numFmtId="164" fontId="8" fillId="9" borderId="2" xfId="3" applyNumberFormat="1" applyFont="1" applyFill="1" applyBorder="1" applyAlignment="1">
      <alignment horizontal="right" vertical="center"/>
    </xf>
    <xf numFmtId="5" fontId="12" fillId="9" borderId="12" xfId="4" applyNumberFormat="1" applyFont="1" applyFill="1" applyBorder="1" applyAlignment="1">
      <alignment horizontal="center" vertical="center" shrinkToFit="1"/>
    </xf>
    <xf numFmtId="170" fontId="18" fillId="0" borderId="0" xfId="0" applyNumberFormat="1" applyFont="1" applyAlignment="1">
      <alignment horizontal="left"/>
    </xf>
    <xf numFmtId="5" fontId="11" fillId="9" borderId="0" xfId="4" applyNumberFormat="1" applyFont="1" applyFill="1" applyAlignment="1">
      <alignment horizontal="right" vertical="center" shrinkToFit="1"/>
    </xf>
    <xf numFmtId="10" fontId="18" fillId="0" borderId="0" xfId="1" applyNumberFormat="1" applyFont="1" applyAlignment="1">
      <alignment horizontal="left"/>
    </xf>
    <xf numFmtId="0" fontId="22" fillId="0" borderId="0" xfId="0" applyFont="1" applyAlignment="1">
      <alignment horizontal="right"/>
    </xf>
    <xf numFmtId="0" fontId="20" fillId="0" borderId="34" xfId="0" applyFont="1" applyBorder="1" applyAlignment="1">
      <alignment horizontal="right"/>
    </xf>
    <xf numFmtId="5" fontId="22" fillId="0" borderId="0" xfId="0" applyNumberFormat="1" applyFont="1"/>
    <xf numFmtId="39" fontId="22" fillId="0" borderId="0" xfId="0" applyNumberFormat="1" applyFont="1" applyAlignment="1">
      <alignment horizontal="right"/>
    </xf>
    <xf numFmtId="5" fontId="22" fillId="0" borderId="41" xfId="0" applyNumberFormat="1" applyFont="1" applyBorder="1"/>
    <xf numFmtId="39" fontId="22" fillId="0" borderId="41" xfId="0" applyNumberFormat="1" applyFont="1" applyBorder="1" applyAlignment="1">
      <alignment horizontal="right"/>
    </xf>
    <xf numFmtId="5" fontId="22" fillId="0" borderId="15" xfId="0" applyNumberFormat="1" applyFont="1" applyBorder="1"/>
    <xf numFmtId="39" fontId="22" fillId="0" borderId="15" xfId="0" applyNumberFormat="1" applyFont="1" applyBorder="1" applyAlignment="1">
      <alignment horizontal="right"/>
    </xf>
    <xf numFmtId="39" fontId="17" fillId="0" borderId="0" xfId="0" applyNumberFormat="1" applyFont="1" applyAlignment="1">
      <alignment horizontal="right"/>
    </xf>
    <xf numFmtId="167" fontId="22" fillId="0" borderId="0" xfId="1" applyNumberFormat="1" applyFont="1" applyFill="1" applyBorder="1" applyAlignment="1">
      <alignment horizontal="right"/>
    </xf>
    <xf numFmtId="167" fontId="22" fillId="0" borderId="15" xfId="1" applyNumberFormat="1" applyFont="1" applyFill="1" applyBorder="1" applyAlignment="1">
      <alignment horizontal="right"/>
    </xf>
    <xf numFmtId="0" fontId="19" fillId="8" borderId="19" xfId="0" applyFont="1" applyFill="1" applyBorder="1" applyAlignment="1">
      <alignment horizontal="left"/>
    </xf>
    <xf numFmtId="0" fontId="19" fillId="8" borderId="18" xfId="0" applyFont="1" applyFill="1" applyBorder="1" applyAlignment="1">
      <alignment horizontal="left"/>
    </xf>
    <xf numFmtId="0" fontId="19" fillId="8" borderId="21" xfId="0" applyFont="1" applyFill="1" applyBorder="1" applyAlignment="1">
      <alignment horizontal="left"/>
    </xf>
    <xf numFmtId="0" fontId="16" fillId="2" borderId="1" xfId="2" applyFont="1" applyFill="1" applyBorder="1" applyAlignment="1">
      <alignment horizontal="left" vertical="center"/>
    </xf>
    <xf numFmtId="165" fontId="22" fillId="0" borderId="46" xfId="0" applyNumberFormat="1" applyFont="1" applyBorder="1" applyAlignment="1">
      <alignment horizontal="center"/>
    </xf>
    <xf numFmtId="0" fontId="7" fillId="2" borderId="1" xfId="2" applyFont="1" applyFill="1" applyBorder="1" applyAlignment="1">
      <alignment horizontal="left" vertical="center"/>
    </xf>
    <xf numFmtId="0" fontId="6" fillId="2" borderId="1" xfId="2" applyFont="1" applyFill="1" applyBorder="1" applyAlignment="1">
      <alignment horizontal="left" vertical="center"/>
    </xf>
  </cellXfs>
  <cellStyles count="7">
    <cellStyle name="Comma" xfId="6" builtinId="3"/>
    <cellStyle name="Normal" xfId="0" builtinId="0"/>
    <cellStyle name="Normal 2" xfId="4" xr:uid="{FF47A316-A022-40C0-B24A-22956A4C9B47}"/>
    <cellStyle name="Normal 24" xfId="5" xr:uid="{1AAFE32F-7A5C-4BA3-B0E1-EDAC1D8FB207}"/>
    <cellStyle name="Normal 3" xfId="3" xr:uid="{9AD981FC-79C5-40E2-9E5C-5203D5DA6DEE}"/>
    <cellStyle name="Percent" xfId="1" builtinId="5"/>
    <cellStyle name="Title" xfId="2" builtinId="15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CEE4F2"/>
      <color rgb="FFFFF1AB"/>
      <color rgb="FF0000FF"/>
      <color rgb="FF0046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r>
              <a:rPr lang="en-US" b="1" i="0" u="none">
                <a:solidFill>
                  <a:sysClr val="windowText" lastClr="000000"/>
                </a:solidFill>
              </a:rPr>
              <a:t>Cap Rate Trend</a:t>
            </a:r>
          </a:p>
        </c:rich>
      </c:tx>
      <c:layout>
        <c:manualLayout>
          <c:xMode val="edge"/>
          <c:yMode val="edge"/>
          <c:x val="0.41079046281071813"/>
          <c:y val="4.01253918495297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'Validation Lists | Graph Values'!$G$1</c:f>
              <c:strCache>
                <c:ptCount val="1"/>
                <c:pt idx="0">
                  <c:v>Cap Rate</c:v>
                </c:pt>
              </c:strCache>
            </c:strRef>
          </c:tx>
          <c:spPr>
            <a:ln w="28575" cap="rnd">
              <a:solidFill>
                <a:srgbClr val="00468B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rgbClr val="00468B"/>
              </a:solidFill>
              <a:ln w="9525">
                <a:solidFill>
                  <a:srgbClr val="00468B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'Validation Lists | Graph Values'!$F$2:$F$6</c:f>
              <c:strCache>
                <c:ptCount val="5"/>
                <c:pt idx="0">
                  <c:v>T12/T12 Actual</c:v>
                </c:pt>
                <c:pt idx="1">
                  <c:v>&lt;--- RET &amp; OpEx adj.</c:v>
                </c:pt>
                <c:pt idx="2">
                  <c:v>&lt;--- w/ Revenue Losses stblz.</c:v>
                </c:pt>
                <c:pt idx="3">
                  <c:v>Untrended Stablized</c:v>
                </c:pt>
                <c:pt idx="4">
                  <c:v>Exit Cap Rate</c:v>
                </c:pt>
              </c:strCache>
            </c:strRef>
          </c:cat>
          <c:val>
            <c:numRef>
              <c:f>'Validation Lists | Graph Values'!$G$2:$G$6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5.2499999999999998E-2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F2-49E0-818F-8AF612CE7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4963456"/>
        <c:axId val="1404963936"/>
      </c:lineChart>
      <c:catAx>
        <c:axId val="140496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404963936"/>
        <c:crosses val="autoZero"/>
        <c:auto val="1"/>
        <c:lblAlgn val="ctr"/>
        <c:lblOffset val="100"/>
        <c:noMultiLvlLbl val="0"/>
      </c:catAx>
      <c:valAx>
        <c:axId val="1404963936"/>
        <c:scaling>
          <c:orientation val="minMax"/>
          <c:max val="6.2500000000000014E-2"/>
          <c:min val="4.25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404963456"/>
        <c:crosses val="autoZero"/>
        <c:crossBetween val="between"/>
        <c:majorUnit val="2.5000000000000005E-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>
          <a:latin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48</xdr:row>
      <xdr:rowOff>0</xdr:rowOff>
    </xdr:from>
    <xdr:to>
      <xdr:col>9</xdr:col>
      <xdr:colOff>0</xdr:colOff>
      <xdr:row>63</xdr:row>
      <xdr:rowOff>169333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E259C7-EFD9-4299-8CA8-3AA7A64FA5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43026-C563-41EC-8407-6A4FEE5CEB62}">
  <dimension ref="A1:G54"/>
  <sheetViews>
    <sheetView showGridLines="0" workbookViewId="0">
      <selection activeCell="D40" sqref="D40"/>
    </sheetView>
  </sheetViews>
  <sheetFormatPr baseColWidth="10" defaultColWidth="9.1640625" defaultRowHeight="14" x14ac:dyDescent="0.2"/>
  <cols>
    <col min="1" max="1" width="23.1640625" style="93" bestFit="1" customWidth="1"/>
    <col min="2" max="2" width="13.83203125" style="93" bestFit="1" customWidth="1"/>
    <col min="3" max="3" width="23.33203125" style="93" bestFit="1" customWidth="1"/>
    <col min="4" max="4" width="15.6640625" style="93" bestFit="1" customWidth="1"/>
    <col min="5" max="5" width="9.1640625" style="93"/>
    <col min="6" max="6" width="23.5" style="93" bestFit="1" customWidth="1"/>
    <col min="7" max="16384" width="9.1640625" style="93"/>
  </cols>
  <sheetData>
    <row r="1" spans="1:7" x14ac:dyDescent="0.2">
      <c r="A1" s="184" t="s">
        <v>125</v>
      </c>
      <c r="B1" s="184" t="s">
        <v>126</v>
      </c>
      <c r="C1" s="184" t="s">
        <v>224</v>
      </c>
      <c r="D1" s="184" t="s">
        <v>246</v>
      </c>
      <c r="F1" s="184" t="s">
        <v>349</v>
      </c>
      <c r="G1" s="234" t="s">
        <v>350</v>
      </c>
    </row>
    <row r="2" spans="1:7" x14ac:dyDescent="0.2">
      <c r="A2" s="221" t="s">
        <v>127</v>
      </c>
      <c r="B2" s="221" t="s">
        <v>128</v>
      </c>
      <c r="C2" s="221" t="s">
        <v>225</v>
      </c>
      <c r="D2" s="221" t="s">
        <v>247</v>
      </c>
      <c r="F2" s="93" t="str">
        <f>CONCATENATE('QuickVal Proforma'!F4,'QuickVal Proforma'!G4)</f>
        <v>T12/T12 Actual</v>
      </c>
      <c r="G2" s="235">
        <f>'QuickVal Proforma'!F5</f>
        <v>0</v>
      </c>
    </row>
    <row r="3" spans="1:7" x14ac:dyDescent="0.2">
      <c r="A3" s="221" t="s">
        <v>129</v>
      </c>
      <c r="B3" s="221" t="s">
        <v>130</v>
      </c>
      <c r="C3" s="221" t="s">
        <v>226</v>
      </c>
      <c r="D3" s="221" t="s">
        <v>248</v>
      </c>
      <c r="F3" s="93" t="str">
        <f>'QuickVal Proforma'!I4</f>
        <v>&lt;--- RET &amp; OpEx adj.</v>
      </c>
      <c r="G3" s="235" t="e">
        <f>'QuickVal Proforma'!I5</f>
        <v>#DIV/0!</v>
      </c>
    </row>
    <row r="4" spans="1:7" x14ac:dyDescent="0.2">
      <c r="A4" s="221" t="s">
        <v>131</v>
      </c>
      <c r="B4" s="221" t="s">
        <v>132</v>
      </c>
      <c r="C4" s="221" t="s">
        <v>227</v>
      </c>
      <c r="D4" s="221" t="s">
        <v>249</v>
      </c>
      <c r="F4" s="93" t="str">
        <f>'QuickVal Proforma'!L4</f>
        <v>&lt;--- w/ Revenue Losses stblz.</v>
      </c>
      <c r="G4" s="235" t="e">
        <f>'QuickVal Proforma'!L5</f>
        <v>#DIV/0!</v>
      </c>
    </row>
    <row r="5" spans="1:7" x14ac:dyDescent="0.2">
      <c r="A5" s="221" t="s">
        <v>133</v>
      </c>
      <c r="B5" s="221" t="s">
        <v>124</v>
      </c>
      <c r="C5" s="221" t="s">
        <v>228</v>
      </c>
      <c r="D5" s="221" t="s">
        <v>250</v>
      </c>
      <c r="F5" s="93" t="str">
        <f>'QuickVal Proforma'!O4</f>
        <v>Untrended Stablized</v>
      </c>
      <c r="G5" s="235" t="e">
        <f>'QuickVal Proforma'!O5</f>
        <v>#DIV/0!</v>
      </c>
    </row>
    <row r="6" spans="1:7" x14ac:dyDescent="0.2">
      <c r="A6" s="221" t="s">
        <v>134</v>
      </c>
      <c r="B6" s="221" t="s">
        <v>135</v>
      </c>
      <c r="C6" s="221" t="s">
        <v>229</v>
      </c>
      <c r="D6" s="221" t="s">
        <v>251</v>
      </c>
      <c r="F6" s="93" t="str">
        <f>'QuickVal Proforma'!B29</f>
        <v>Exit Cap Rate</v>
      </c>
      <c r="G6" s="235">
        <f>'QuickVal Proforma'!C29</f>
        <v>5.2499999999999998E-2</v>
      </c>
    </row>
    <row r="7" spans="1:7" x14ac:dyDescent="0.2">
      <c r="A7" s="221" t="s">
        <v>136</v>
      </c>
      <c r="B7" s="221" t="s">
        <v>137</v>
      </c>
      <c r="C7" s="221" t="s">
        <v>230</v>
      </c>
      <c r="D7" s="221" t="s">
        <v>252</v>
      </c>
    </row>
    <row r="8" spans="1:7" x14ac:dyDescent="0.2">
      <c r="A8" s="221" t="s">
        <v>138</v>
      </c>
      <c r="B8" s="221" t="s">
        <v>139</v>
      </c>
      <c r="C8" s="221" t="s">
        <v>231</v>
      </c>
      <c r="D8" s="221" t="s">
        <v>113</v>
      </c>
    </row>
    <row r="9" spans="1:7" x14ac:dyDescent="0.2">
      <c r="A9" s="221" t="s">
        <v>135</v>
      </c>
      <c r="B9" s="221" t="s">
        <v>140</v>
      </c>
      <c r="C9" s="221" t="s">
        <v>232</v>
      </c>
      <c r="D9" s="221" t="s">
        <v>253</v>
      </c>
    </row>
    <row r="10" spans="1:7" x14ac:dyDescent="0.2">
      <c r="A10" s="221" t="s">
        <v>141</v>
      </c>
      <c r="B10" s="221" t="s">
        <v>142</v>
      </c>
      <c r="C10" s="221" t="s">
        <v>233</v>
      </c>
      <c r="D10" s="221" t="s">
        <v>254</v>
      </c>
    </row>
    <row r="11" spans="1:7" x14ac:dyDescent="0.2">
      <c r="A11" s="221" t="s">
        <v>143</v>
      </c>
      <c r="B11" s="221" t="s">
        <v>144</v>
      </c>
      <c r="C11" s="221" t="s">
        <v>234</v>
      </c>
      <c r="D11" s="221" t="s">
        <v>255</v>
      </c>
    </row>
    <row r="12" spans="1:7" x14ac:dyDescent="0.2">
      <c r="A12" s="221" t="s">
        <v>145</v>
      </c>
      <c r="B12" s="221" t="s">
        <v>146</v>
      </c>
      <c r="C12" s="221" t="s">
        <v>235</v>
      </c>
      <c r="D12" s="221" t="s">
        <v>256</v>
      </c>
    </row>
    <row r="13" spans="1:7" x14ac:dyDescent="0.2">
      <c r="A13" s="221" t="s">
        <v>147</v>
      </c>
      <c r="B13" s="221" t="s">
        <v>148</v>
      </c>
      <c r="C13" s="221" t="s">
        <v>236</v>
      </c>
      <c r="D13" s="221" t="s">
        <v>257</v>
      </c>
    </row>
    <row r="14" spans="1:7" x14ac:dyDescent="0.2">
      <c r="A14" s="221" t="s">
        <v>149</v>
      </c>
      <c r="B14" s="221" t="s">
        <v>150</v>
      </c>
      <c r="C14" s="221" t="s">
        <v>237</v>
      </c>
      <c r="D14" s="221" t="s">
        <v>258</v>
      </c>
    </row>
    <row r="15" spans="1:7" x14ac:dyDescent="0.2">
      <c r="A15" s="221" t="s">
        <v>151</v>
      </c>
      <c r="B15" s="221" t="s">
        <v>152</v>
      </c>
      <c r="C15" s="221" t="s">
        <v>238</v>
      </c>
      <c r="D15" s="221" t="s">
        <v>259</v>
      </c>
    </row>
    <row r="16" spans="1:7" x14ac:dyDescent="0.2">
      <c r="A16" s="221" t="s">
        <v>153</v>
      </c>
      <c r="B16" s="221" t="s">
        <v>147</v>
      </c>
      <c r="C16" s="221" t="s">
        <v>239</v>
      </c>
      <c r="D16" s="221" t="s">
        <v>260</v>
      </c>
    </row>
    <row r="17" spans="1:4" x14ac:dyDescent="0.2">
      <c r="A17" s="221" t="s">
        <v>154</v>
      </c>
      <c r="B17" s="221" t="s">
        <v>155</v>
      </c>
      <c r="C17" s="221" t="s">
        <v>240</v>
      </c>
      <c r="D17" s="221" t="s">
        <v>261</v>
      </c>
    </row>
    <row r="18" spans="1:4" x14ac:dyDescent="0.2">
      <c r="A18" s="221" t="s">
        <v>156</v>
      </c>
      <c r="B18" s="221" t="s">
        <v>157</v>
      </c>
      <c r="C18" s="221" t="s">
        <v>241</v>
      </c>
    </row>
    <row r="19" spans="1:4" x14ac:dyDescent="0.2">
      <c r="A19" s="221" t="s">
        <v>158</v>
      </c>
      <c r="B19" s="221" t="s">
        <v>159</v>
      </c>
      <c r="C19" s="221" t="s">
        <v>242</v>
      </c>
    </row>
    <row r="20" spans="1:4" x14ac:dyDescent="0.2">
      <c r="A20" s="221" t="s">
        <v>160</v>
      </c>
      <c r="B20" s="221" t="s">
        <v>161</v>
      </c>
      <c r="C20" s="221" t="s">
        <v>243</v>
      </c>
    </row>
    <row r="21" spans="1:4" x14ac:dyDescent="0.2">
      <c r="A21" s="221" t="s">
        <v>162</v>
      </c>
      <c r="B21" s="221" t="s">
        <v>163</v>
      </c>
      <c r="C21" s="221" t="s">
        <v>244</v>
      </c>
    </row>
    <row r="22" spans="1:4" x14ac:dyDescent="0.2">
      <c r="A22" s="221" t="s">
        <v>164</v>
      </c>
      <c r="B22" s="221" t="s">
        <v>165</v>
      </c>
      <c r="C22" s="221" t="s">
        <v>245</v>
      </c>
    </row>
    <row r="23" spans="1:4" x14ac:dyDescent="0.2">
      <c r="A23" s="221" t="s">
        <v>166</v>
      </c>
      <c r="B23" s="221" t="s">
        <v>167</v>
      </c>
    </row>
    <row r="24" spans="1:4" x14ac:dyDescent="0.2">
      <c r="A24" s="221" t="s">
        <v>168</v>
      </c>
      <c r="B24" s="221" t="s">
        <v>169</v>
      </c>
    </row>
    <row r="25" spans="1:4" x14ac:dyDescent="0.2">
      <c r="A25" s="221" t="s">
        <v>170</v>
      </c>
      <c r="B25" s="221" t="s">
        <v>171</v>
      </c>
    </row>
    <row r="26" spans="1:4" x14ac:dyDescent="0.2">
      <c r="A26" s="221" t="s">
        <v>172</v>
      </c>
      <c r="B26" s="221" t="s">
        <v>173</v>
      </c>
    </row>
    <row r="27" spans="1:4" x14ac:dyDescent="0.2">
      <c r="A27" s="221" t="s">
        <v>174</v>
      </c>
      <c r="B27" s="221" t="s">
        <v>175</v>
      </c>
    </row>
    <row r="28" spans="1:4" x14ac:dyDescent="0.2">
      <c r="A28" s="221" t="s">
        <v>176</v>
      </c>
      <c r="B28" s="221" t="s">
        <v>177</v>
      </c>
    </row>
    <row r="29" spans="1:4" x14ac:dyDescent="0.2">
      <c r="A29" s="221" t="s">
        <v>178</v>
      </c>
      <c r="B29" s="221" t="s">
        <v>179</v>
      </c>
    </row>
    <row r="30" spans="1:4" x14ac:dyDescent="0.2">
      <c r="A30" s="221" t="s">
        <v>180</v>
      </c>
      <c r="B30" s="221" t="s">
        <v>181</v>
      </c>
    </row>
    <row r="31" spans="1:4" x14ac:dyDescent="0.2">
      <c r="A31" s="221" t="s">
        <v>182</v>
      </c>
      <c r="B31" s="221" t="s">
        <v>354</v>
      </c>
    </row>
    <row r="32" spans="1:4" x14ac:dyDescent="0.2">
      <c r="A32" s="221" t="s">
        <v>184</v>
      </c>
      <c r="B32" s="221" t="s">
        <v>183</v>
      </c>
    </row>
    <row r="33" spans="1:2" x14ac:dyDescent="0.2">
      <c r="A33" s="221" t="s">
        <v>186</v>
      </c>
      <c r="B33" s="221" t="s">
        <v>185</v>
      </c>
    </row>
    <row r="34" spans="1:2" x14ac:dyDescent="0.2">
      <c r="A34" s="221" t="s">
        <v>188</v>
      </c>
      <c r="B34" s="221" t="s">
        <v>187</v>
      </c>
    </row>
    <row r="35" spans="1:2" x14ac:dyDescent="0.2">
      <c r="A35" s="221" t="s">
        <v>190</v>
      </c>
      <c r="B35" s="221" t="s">
        <v>189</v>
      </c>
    </row>
    <row r="36" spans="1:2" x14ac:dyDescent="0.2">
      <c r="A36" s="221" t="s">
        <v>192</v>
      </c>
      <c r="B36" s="221" t="s">
        <v>191</v>
      </c>
    </row>
    <row r="37" spans="1:2" x14ac:dyDescent="0.2">
      <c r="A37" s="221" t="s">
        <v>194</v>
      </c>
      <c r="B37" s="221" t="s">
        <v>193</v>
      </c>
    </row>
    <row r="38" spans="1:2" x14ac:dyDescent="0.2">
      <c r="A38" s="221" t="s">
        <v>196</v>
      </c>
      <c r="B38" s="221" t="s">
        <v>195</v>
      </c>
    </row>
    <row r="39" spans="1:2" x14ac:dyDescent="0.2">
      <c r="A39" s="221" t="s">
        <v>198</v>
      </c>
      <c r="B39" s="221" t="s">
        <v>197</v>
      </c>
    </row>
    <row r="40" spans="1:2" x14ac:dyDescent="0.2">
      <c r="A40" s="221" t="s">
        <v>200</v>
      </c>
      <c r="B40" s="221" t="s">
        <v>199</v>
      </c>
    </row>
    <row r="41" spans="1:2" x14ac:dyDescent="0.2">
      <c r="A41" s="221" t="s">
        <v>202</v>
      </c>
      <c r="B41" s="221" t="s">
        <v>201</v>
      </c>
    </row>
    <row r="42" spans="1:2" x14ac:dyDescent="0.2">
      <c r="A42" s="221" t="s">
        <v>204</v>
      </c>
      <c r="B42" s="221" t="s">
        <v>203</v>
      </c>
    </row>
    <row r="43" spans="1:2" x14ac:dyDescent="0.2">
      <c r="A43" s="221" t="s">
        <v>206</v>
      </c>
      <c r="B43" s="221" t="s">
        <v>205</v>
      </c>
    </row>
    <row r="44" spans="1:2" x14ac:dyDescent="0.2">
      <c r="A44" s="221" t="s">
        <v>207</v>
      </c>
      <c r="B44" s="221" t="s">
        <v>190</v>
      </c>
    </row>
    <row r="45" spans="1:2" x14ac:dyDescent="0.2">
      <c r="A45" s="221" t="s">
        <v>209</v>
      </c>
      <c r="B45" s="221" t="s">
        <v>208</v>
      </c>
    </row>
    <row r="46" spans="1:2" x14ac:dyDescent="0.2">
      <c r="A46" s="221" t="s">
        <v>211</v>
      </c>
      <c r="B46" s="221" t="s">
        <v>210</v>
      </c>
    </row>
    <row r="47" spans="1:2" x14ac:dyDescent="0.2">
      <c r="A47" s="221" t="s">
        <v>212</v>
      </c>
      <c r="B47" s="221" t="s">
        <v>202</v>
      </c>
    </row>
    <row r="48" spans="1:2" x14ac:dyDescent="0.2">
      <c r="A48" s="221" t="s">
        <v>214</v>
      </c>
      <c r="B48" s="221" t="s">
        <v>213</v>
      </c>
    </row>
    <row r="49" spans="1:2" x14ac:dyDescent="0.2">
      <c r="A49" s="221" t="s">
        <v>216</v>
      </c>
      <c r="B49" s="221" t="s">
        <v>215</v>
      </c>
    </row>
    <row r="50" spans="1:2" x14ac:dyDescent="0.2">
      <c r="A50" s="221" t="s">
        <v>218</v>
      </c>
      <c r="B50" s="221" t="s">
        <v>217</v>
      </c>
    </row>
    <row r="51" spans="1:2" x14ac:dyDescent="0.2">
      <c r="A51" s="221" t="s">
        <v>220</v>
      </c>
      <c r="B51" s="221" t="s">
        <v>219</v>
      </c>
    </row>
    <row r="52" spans="1:2" x14ac:dyDescent="0.2">
      <c r="A52" s="221" t="s">
        <v>222</v>
      </c>
      <c r="B52" s="221" t="s">
        <v>355</v>
      </c>
    </row>
    <row r="53" spans="1:2" x14ac:dyDescent="0.2">
      <c r="B53" s="221" t="s">
        <v>221</v>
      </c>
    </row>
    <row r="54" spans="1:2" x14ac:dyDescent="0.2">
      <c r="B54" s="221" t="s">
        <v>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A3207-6413-43B4-9D52-30C3CB95D2B3}">
  <sheetPr>
    <tabColor rgb="FF00468B"/>
    <pageSetUpPr fitToPage="1"/>
  </sheetPr>
  <dimension ref="B2:AF60"/>
  <sheetViews>
    <sheetView showGridLines="0" tabSelected="1" zoomScale="90" zoomScaleNormal="90" workbookViewId="0">
      <selection activeCell="C46" sqref="C46"/>
    </sheetView>
  </sheetViews>
  <sheetFormatPr baseColWidth="10" defaultColWidth="9.1640625" defaultRowHeight="15" customHeight="1" outlineLevelCol="1" x14ac:dyDescent="0.2"/>
  <cols>
    <col min="1" max="1" width="2.6640625" style="93" customWidth="1"/>
    <col min="2" max="2" width="25.6640625" style="93" customWidth="1"/>
    <col min="3" max="3" width="22.6640625" style="93" customWidth="1"/>
    <col min="4" max="4" width="2.6640625" style="93" customWidth="1"/>
    <col min="5" max="5" width="34.5" style="93" bestFit="1" customWidth="1"/>
    <col min="6" max="7" width="15.6640625" style="93" customWidth="1"/>
    <col min="8" max="8" width="2.6640625" style="93" customWidth="1"/>
    <col min="9" max="10" width="15.6640625" style="93" customWidth="1"/>
    <col min="11" max="11" width="2.6640625" style="93" customWidth="1"/>
    <col min="12" max="13" width="15.6640625" style="93" customWidth="1"/>
    <col min="14" max="14" width="2.6640625" style="93" customWidth="1"/>
    <col min="15" max="16" width="15.6640625" style="93" customWidth="1"/>
    <col min="17" max="17" width="2.6640625" style="93" customWidth="1"/>
    <col min="18" max="19" width="15.6640625" style="93" customWidth="1"/>
    <col min="20" max="20" width="2.6640625" style="93" customWidth="1"/>
    <col min="21" max="21" width="25.6640625" style="93" customWidth="1" outlineLevel="1"/>
    <col min="22" max="32" width="14.6640625" style="93" customWidth="1" outlineLevel="1"/>
    <col min="33" max="16384" width="9.1640625" style="93"/>
  </cols>
  <sheetData>
    <row r="2" spans="2:24" ht="15" customHeight="1" thickBot="1" x14ac:dyDescent="0.25">
      <c r="B2" s="297" t="str">
        <f>CONCATENATE(C5," | ","Quick Valuation")</f>
        <v xml:space="preserve"> | Quick Valuation</v>
      </c>
      <c r="C2" s="297"/>
      <c r="D2" s="297"/>
      <c r="E2" s="297"/>
      <c r="F2" s="297"/>
      <c r="G2" s="297"/>
      <c r="H2" s="297"/>
      <c r="I2" s="297"/>
      <c r="J2" s="297"/>
      <c r="K2" s="297"/>
      <c r="L2" s="297"/>
      <c r="M2" s="297"/>
      <c r="N2" s="297"/>
      <c r="O2" s="297"/>
      <c r="P2" s="297"/>
      <c r="Q2" s="297"/>
      <c r="R2" s="297"/>
      <c r="S2" s="297"/>
    </row>
    <row r="3" spans="2:24" ht="15" customHeight="1" x14ac:dyDescent="0.2">
      <c r="B3" s="280">
        <f ca="1">TODAY()</f>
        <v>46136</v>
      </c>
      <c r="R3" s="298">
        <v>5</v>
      </c>
      <c r="S3" s="298"/>
    </row>
    <row r="4" spans="2:24" ht="15" customHeight="1" x14ac:dyDescent="0.2">
      <c r="B4" s="294" t="s">
        <v>97</v>
      </c>
      <c r="C4" s="295"/>
      <c r="F4" s="284" t="s">
        <v>93</v>
      </c>
      <c r="G4" s="94" t="s">
        <v>115</v>
      </c>
      <c r="I4" s="228" t="s">
        <v>116</v>
      </c>
      <c r="J4" s="229"/>
      <c r="L4" s="228" t="s">
        <v>345</v>
      </c>
      <c r="M4" s="229"/>
      <c r="O4" s="230" t="s">
        <v>88</v>
      </c>
      <c r="P4" s="231"/>
      <c r="R4" s="230" t="s">
        <v>336</v>
      </c>
      <c r="S4" s="231"/>
      <c r="U4" s="95" t="s">
        <v>286</v>
      </c>
      <c r="V4" s="96" t="s">
        <v>284</v>
      </c>
      <c r="W4" s="96" t="s">
        <v>285</v>
      </c>
      <c r="X4" s="97" t="s">
        <v>287</v>
      </c>
    </row>
    <row r="5" spans="2:24" ht="15" customHeight="1" x14ac:dyDescent="0.2">
      <c r="B5" s="98" t="s">
        <v>75</v>
      </c>
      <c r="C5" s="237"/>
      <c r="F5" s="232">
        <f>F48/$C$23</f>
        <v>0</v>
      </c>
      <c r="G5" s="233"/>
      <c r="I5" s="232" t="e">
        <f>I48/$C$23</f>
        <v>#DIV/0!</v>
      </c>
      <c r="J5" s="233"/>
      <c r="L5" s="232" t="e">
        <f>L48/$C$23</f>
        <v>#DIV/0!</v>
      </c>
      <c r="M5" s="233"/>
      <c r="O5" s="232" t="e">
        <f>O48/($C$27)</f>
        <v>#DIV/0!</v>
      </c>
      <c r="P5" s="233"/>
      <c r="R5" s="232" t="e">
        <f>R48/$C$27</f>
        <v>#DIV/0!</v>
      </c>
      <c r="S5" s="233"/>
      <c r="U5" s="99" t="s">
        <v>271</v>
      </c>
      <c r="V5" s="285">
        <v>95000</v>
      </c>
      <c r="W5" s="286">
        <v>0</v>
      </c>
      <c r="X5" s="100">
        <f>V5*W5</f>
        <v>0</v>
      </c>
    </row>
    <row r="6" spans="2:24" ht="15" customHeight="1" x14ac:dyDescent="0.2">
      <c r="B6" s="98" t="s">
        <v>262</v>
      </c>
      <c r="C6" s="238"/>
      <c r="E6" s="101" t="s">
        <v>76</v>
      </c>
      <c r="F6" s="102" t="str">
        <f>CONCATENATE(TEXT('T12 Intake'!O3, "[$-en-US]mmm-yy;@")," T12")</f>
        <v>Jul-25 T12</v>
      </c>
      <c r="G6" s="103" t="s">
        <v>110</v>
      </c>
      <c r="I6" s="102" t="s">
        <v>122</v>
      </c>
      <c r="J6" s="103" t="s">
        <v>110</v>
      </c>
      <c r="L6" s="102" t="s">
        <v>112</v>
      </c>
      <c r="M6" s="104" t="s">
        <v>110</v>
      </c>
      <c r="O6" s="102" t="s">
        <v>346</v>
      </c>
      <c r="P6" s="103" t="s">
        <v>110</v>
      </c>
      <c r="R6" s="102" t="s">
        <v>347</v>
      </c>
      <c r="S6" s="103" t="s">
        <v>110</v>
      </c>
      <c r="U6" s="99" t="s">
        <v>272</v>
      </c>
      <c r="V6" s="285">
        <v>65000</v>
      </c>
      <c r="W6" s="286">
        <v>0</v>
      </c>
      <c r="X6" s="100">
        <f t="shared" ref="X6:X14" si="0">V6*W6</f>
        <v>0</v>
      </c>
    </row>
    <row r="7" spans="2:24" ht="15" customHeight="1" x14ac:dyDescent="0.2">
      <c r="B7" s="98" t="s">
        <v>98</v>
      </c>
      <c r="C7" s="238"/>
      <c r="E7" s="105" t="s">
        <v>42</v>
      </c>
      <c r="F7" s="106">
        <f>HLOOKUP($F$4,'T12 Clean'!$O$4:$R$14,2,FALSE)</f>
        <v>0</v>
      </c>
      <c r="G7" s="107">
        <f>IFERROR(F7/Units,0)/12</f>
        <v>0</v>
      </c>
      <c r="I7" s="106">
        <f>F7</f>
        <v>0</v>
      </c>
      <c r="J7" s="107">
        <f>IFERROR(I7/Units,0)/12</f>
        <v>0</v>
      </c>
      <c r="L7" s="106">
        <f>I7</f>
        <v>0</v>
      </c>
      <c r="M7" s="108" t="e">
        <f>L7/Units/12</f>
        <v>#DIV/0!</v>
      </c>
      <c r="O7" s="106" t="e">
        <f>L10*(1+$C$36)+(Y50*Y51*12)</f>
        <v>#DIV/0!</v>
      </c>
      <c r="P7" s="107" t="e">
        <f>O7/Units/12</f>
        <v>#DIV/0!</v>
      </c>
      <c r="R7" s="106" t="e">
        <f>O7*(1+C35)^(R3-0.5)</f>
        <v>#DIV/0!</v>
      </c>
      <c r="S7" s="107" t="e">
        <f>R7/Units/12</f>
        <v>#DIV/0!</v>
      </c>
      <c r="U7" s="99" t="s">
        <v>273</v>
      </c>
      <c r="V7" s="285">
        <v>55000</v>
      </c>
      <c r="W7" s="286">
        <v>0</v>
      </c>
      <c r="X7" s="100">
        <f t="shared" si="0"/>
        <v>0</v>
      </c>
    </row>
    <row r="8" spans="2:24" ht="15" customHeight="1" x14ac:dyDescent="0.2">
      <c r="B8" s="98" t="s">
        <v>99</v>
      </c>
      <c r="C8" s="237"/>
      <c r="E8" s="105" t="s">
        <v>43</v>
      </c>
      <c r="F8" s="106">
        <f>HLOOKUP($F$4,'T12 Clean'!$O$4:$R$14,3,FALSE)</f>
        <v>0</v>
      </c>
      <c r="G8" s="107">
        <f>IFERROR(F8/Units,0)/12</f>
        <v>0</v>
      </c>
      <c r="I8" s="106">
        <f t="shared" ref="I8:I9" si="1">F8</f>
        <v>0</v>
      </c>
      <c r="J8" s="107">
        <f>IFERROR(I8/Units,0)/12</f>
        <v>0</v>
      </c>
      <c r="L8" s="106">
        <f t="shared" ref="L8:L9" si="2">I8</f>
        <v>0</v>
      </c>
      <c r="M8" s="108" t="e">
        <f>L8/Units/12</f>
        <v>#DIV/0!</v>
      </c>
      <c r="O8" s="106">
        <f>L8*(1+$C$37)</f>
        <v>0</v>
      </c>
      <c r="P8" s="107" t="e">
        <f>O8/Units/12</f>
        <v>#DIV/0!</v>
      </c>
      <c r="R8" s="106">
        <f>O8*(1+$C$37)^(R3-0.5)</f>
        <v>0</v>
      </c>
      <c r="S8" s="107" t="e">
        <f>R8/Units/12</f>
        <v>#DIV/0!</v>
      </c>
      <c r="U8" s="99" t="s">
        <v>274</v>
      </c>
      <c r="V8" s="285">
        <v>50000</v>
      </c>
      <c r="W8" s="286">
        <v>0</v>
      </c>
      <c r="X8" s="100">
        <f t="shared" si="0"/>
        <v>0</v>
      </c>
    </row>
    <row r="9" spans="2:24" ht="15" customHeight="1" x14ac:dyDescent="0.2">
      <c r="B9" s="98" t="s">
        <v>100</v>
      </c>
      <c r="C9" s="237"/>
      <c r="E9" s="105" t="s">
        <v>44</v>
      </c>
      <c r="F9" s="106">
        <f>HLOOKUP($F$4,'T12 Clean'!$O$4:$R$14,4,FALSE)</f>
        <v>0</v>
      </c>
      <c r="G9" s="109">
        <f>IFERROR(-F9/$F$7,0)</f>
        <v>0</v>
      </c>
      <c r="I9" s="106">
        <f t="shared" si="1"/>
        <v>0</v>
      </c>
      <c r="J9" s="109">
        <f>IFERROR(-I9/$I$7,0)</f>
        <v>0</v>
      </c>
      <c r="L9" s="106">
        <f t="shared" si="2"/>
        <v>0</v>
      </c>
      <c r="M9" s="109">
        <f>IFERROR(-L9/$L$7,0)</f>
        <v>0</v>
      </c>
      <c r="O9" s="106" t="e">
        <f>O7*-P9</f>
        <v>#DIV/0!</v>
      </c>
      <c r="P9" s="266">
        <f>IF($C$36&gt;2%,$C$36/2,1%)</f>
        <v>0.01</v>
      </c>
      <c r="R9" s="106" t="e">
        <f>R7*-S9</f>
        <v>#DIV/0!</v>
      </c>
      <c r="S9" s="109">
        <f>P9</f>
        <v>0.01</v>
      </c>
      <c r="U9" s="110" t="s">
        <v>275</v>
      </c>
      <c r="V9" s="287">
        <v>50000</v>
      </c>
      <c r="W9" s="288">
        <v>0</v>
      </c>
      <c r="X9" s="111">
        <f t="shared" si="0"/>
        <v>0</v>
      </c>
    </row>
    <row r="10" spans="2:24" ht="15" customHeight="1" x14ac:dyDescent="0.2">
      <c r="B10" s="112" t="s">
        <v>263</v>
      </c>
      <c r="C10" s="236">
        <f ca="1">TODAY()+30</f>
        <v>46166</v>
      </c>
      <c r="E10" s="113" t="s">
        <v>77</v>
      </c>
      <c r="F10" s="114">
        <f>SUM(F7:F9)</f>
        <v>0</v>
      </c>
      <c r="G10" s="115">
        <f>IFERROR(F10/Units,0)/12</f>
        <v>0</v>
      </c>
      <c r="I10" s="114">
        <f>SUM(I7:I9)</f>
        <v>0</v>
      </c>
      <c r="J10" s="115">
        <f>IFERROR(I10/Units,0)/12</f>
        <v>0</v>
      </c>
      <c r="L10" s="114">
        <f>SUM(L7:L9)</f>
        <v>0</v>
      </c>
      <c r="M10" s="115" t="e">
        <f>L10/Units/12</f>
        <v>#DIV/0!</v>
      </c>
      <c r="O10" s="114" t="e">
        <f>SUM(O7:O9)</f>
        <v>#DIV/0!</v>
      </c>
      <c r="P10" s="115" t="e">
        <f>O10/Units/12</f>
        <v>#DIV/0!</v>
      </c>
      <c r="R10" s="114" t="e">
        <f>SUM(R7:R9)</f>
        <v>#DIV/0!</v>
      </c>
      <c r="S10" s="115" t="e">
        <f>R10/Units/12</f>
        <v>#DIV/0!</v>
      </c>
      <c r="U10" s="99" t="s">
        <v>276</v>
      </c>
      <c r="V10" s="285">
        <v>75000</v>
      </c>
      <c r="W10" s="286">
        <v>0</v>
      </c>
      <c r="X10" s="100">
        <f t="shared" si="0"/>
        <v>0</v>
      </c>
    </row>
    <row r="11" spans="2:24" ht="15" customHeight="1" x14ac:dyDescent="0.2">
      <c r="B11" s="98" t="s">
        <v>101</v>
      </c>
      <c r="C11" s="237"/>
      <c r="E11" s="105" t="s">
        <v>45</v>
      </c>
      <c r="F11" s="106">
        <f>HLOOKUP($F$4,'T12 Clean'!$O$4:$R$14,6,FALSE)</f>
        <v>0</v>
      </c>
      <c r="G11" s="109">
        <f>IFERROR(-F11/SUM($F$7:$F$8),0)</f>
        <v>0</v>
      </c>
      <c r="I11" s="106">
        <f t="shared" ref="I11:I15" si="3">F11</f>
        <v>0</v>
      </c>
      <c r="J11" s="109">
        <f>IFERROR(-I11/SUM($I$7:$I$8),0)</f>
        <v>0</v>
      </c>
      <c r="L11" s="106">
        <f>SUM($L$7:$L$8)*-M11</f>
        <v>0</v>
      </c>
      <c r="M11" s="267">
        <v>0.05</v>
      </c>
      <c r="O11" s="106" t="e">
        <f>SUM($O$7:$O$8)*-P11</f>
        <v>#DIV/0!</v>
      </c>
      <c r="P11" s="109">
        <f t="shared" ref="P11:P12" si="4">M11</f>
        <v>0.05</v>
      </c>
      <c r="R11" s="106" t="e">
        <f>SUM($R$7:$R$8)*-S11</f>
        <v>#DIV/0!</v>
      </c>
      <c r="S11" s="109">
        <f t="shared" ref="S11:S12" si="5">P11</f>
        <v>0.05</v>
      </c>
      <c r="U11" s="99" t="s">
        <v>277</v>
      </c>
      <c r="V11" s="285">
        <v>55000</v>
      </c>
      <c r="W11" s="286">
        <v>0</v>
      </c>
      <c r="X11" s="100">
        <f t="shared" si="0"/>
        <v>0</v>
      </c>
    </row>
    <row r="12" spans="2:24" ht="15" customHeight="1" x14ac:dyDescent="0.2">
      <c r="B12" s="98" t="s">
        <v>105</v>
      </c>
      <c r="C12" s="239"/>
      <c r="E12" s="105" t="s">
        <v>46</v>
      </c>
      <c r="F12" s="106">
        <f>HLOOKUP($F$4,'T12 Clean'!$O$4:$R$14,7,FALSE)</f>
        <v>0</v>
      </c>
      <c r="G12" s="109">
        <f>IFERROR(-F12/$F$7,0)</f>
        <v>0</v>
      </c>
      <c r="I12" s="106">
        <f t="shared" si="3"/>
        <v>0</v>
      </c>
      <c r="J12" s="109">
        <f t="shared" ref="J12:J15" si="6">IFERROR(-I12/$I$7,0)</f>
        <v>0</v>
      </c>
      <c r="L12" s="106">
        <f>$L$7*-M12</f>
        <v>0</v>
      </c>
      <c r="M12" s="267">
        <v>1E-3</v>
      </c>
      <c r="O12" s="106" t="e">
        <f>$O$7*-P12</f>
        <v>#DIV/0!</v>
      </c>
      <c r="P12" s="109">
        <f t="shared" si="4"/>
        <v>1E-3</v>
      </c>
      <c r="R12" s="106" t="e">
        <f>$R$7*-S12</f>
        <v>#DIV/0!</v>
      </c>
      <c r="S12" s="109">
        <f t="shared" si="5"/>
        <v>1E-3</v>
      </c>
      <c r="U12" s="99" t="s">
        <v>278</v>
      </c>
      <c r="V12" s="285">
        <v>45000</v>
      </c>
      <c r="W12" s="286">
        <v>0</v>
      </c>
      <c r="X12" s="100">
        <f t="shared" si="0"/>
        <v>0</v>
      </c>
    </row>
    <row r="13" spans="2:24" ht="15" customHeight="1" x14ac:dyDescent="0.2">
      <c r="B13" s="98" t="s">
        <v>102</v>
      </c>
      <c r="C13" s="239" t="e">
        <f>259008/Units</f>
        <v>#DIV/0!</v>
      </c>
      <c r="E13" s="117" t="s">
        <v>47</v>
      </c>
      <c r="F13" s="106">
        <f>HLOOKUP($F$4,'T12 Clean'!$O$4:$R$14,8,FALSE)</f>
        <v>0</v>
      </c>
      <c r="G13" s="118" t="str">
        <f>IFERROR(F13/-$F$7*Units,TEXT(0,"0.00"))</f>
        <v>0.00</v>
      </c>
      <c r="I13" s="106">
        <f t="shared" si="3"/>
        <v>0</v>
      </c>
      <c r="J13" s="118" t="str">
        <f>IFERROR(I13/-$I$7*Units,TEXT(0,"0.00"))</f>
        <v>0.00</v>
      </c>
      <c r="L13" s="106" t="e">
        <f>$L$7/Units*-M13</f>
        <v>#DIV/0!</v>
      </c>
      <c r="M13" s="268">
        <v>1.25</v>
      </c>
      <c r="O13" s="106" t="e">
        <f>$O$7/Units*-P13</f>
        <v>#DIV/0!</v>
      </c>
      <c r="P13" s="118">
        <f>M13</f>
        <v>1.25</v>
      </c>
      <c r="R13" s="106" t="e">
        <f>$R$7/Units*-S13</f>
        <v>#DIV/0!</v>
      </c>
      <c r="S13" s="118">
        <f>P13</f>
        <v>1.25</v>
      </c>
      <c r="U13" s="99" t="s">
        <v>279</v>
      </c>
      <c r="V13" s="285">
        <v>35000</v>
      </c>
      <c r="W13" s="286">
        <v>0</v>
      </c>
      <c r="X13" s="100">
        <f t="shared" si="0"/>
        <v>0</v>
      </c>
    </row>
    <row r="14" spans="2:24" ht="15" customHeight="1" x14ac:dyDescent="0.2">
      <c r="B14" s="112" t="s">
        <v>268</v>
      </c>
      <c r="C14" s="240"/>
      <c r="E14" s="117" t="s">
        <v>48</v>
      </c>
      <c r="F14" s="106">
        <f>HLOOKUP($F$4,'T12 Clean'!$O$4:$R$14,9,FALSE)</f>
        <v>0</v>
      </c>
      <c r="G14" s="118" t="str">
        <f>IFERROR(F14/-$F$7*Units,TEXT(0,"0.00"))</f>
        <v>0.00</v>
      </c>
      <c r="I14" s="106">
        <f t="shared" si="3"/>
        <v>0</v>
      </c>
      <c r="J14" s="118" t="str">
        <f>IFERROR(I14/-$I$7*Units,TEXT(0,"0.00"))</f>
        <v>0.00</v>
      </c>
      <c r="L14" s="106" t="e">
        <f>$L$7/Units*-M14</f>
        <v>#DIV/0!</v>
      </c>
      <c r="M14" s="268">
        <v>0</v>
      </c>
      <c r="O14" s="106" t="e">
        <f>$O$7/Units*-P14</f>
        <v>#DIV/0!</v>
      </c>
      <c r="P14" s="118">
        <f>M14</f>
        <v>0</v>
      </c>
      <c r="R14" s="106" t="e">
        <f>$R$7/Units*-S14</f>
        <v>#DIV/0!</v>
      </c>
      <c r="S14" s="118">
        <f>P14</f>
        <v>0</v>
      </c>
      <c r="U14" s="119" t="s">
        <v>280</v>
      </c>
      <c r="V14" s="289">
        <v>50000</v>
      </c>
      <c r="W14" s="290">
        <v>0</v>
      </c>
      <c r="X14" s="120">
        <f t="shared" si="0"/>
        <v>0</v>
      </c>
    </row>
    <row r="15" spans="2:24" ht="15" customHeight="1" x14ac:dyDescent="0.2">
      <c r="B15" s="98" t="s">
        <v>104</v>
      </c>
      <c r="C15" s="237"/>
      <c r="E15" s="117" t="s">
        <v>49</v>
      </c>
      <c r="F15" s="106">
        <f>HLOOKUP($F$4,'T12 Clean'!$O$4:$R$14,10,FALSE)</f>
        <v>0</v>
      </c>
      <c r="G15" s="109">
        <f>IFERROR(-F15/$F$7,0)</f>
        <v>0</v>
      </c>
      <c r="I15" s="106">
        <f t="shared" si="3"/>
        <v>0</v>
      </c>
      <c r="J15" s="109">
        <f t="shared" si="6"/>
        <v>0</v>
      </c>
      <c r="L15" s="106" t="e">
        <f>$L$7*-M15</f>
        <v>#DIV/0!</v>
      </c>
      <c r="M15" s="267" t="e">
        <f>1/Units</f>
        <v>#DIV/0!</v>
      </c>
      <c r="O15" s="106" t="e">
        <f>$O$7*-P15</f>
        <v>#DIV/0!</v>
      </c>
      <c r="P15" s="109" t="e">
        <f>M15</f>
        <v>#DIV/0!</v>
      </c>
      <c r="R15" s="106" t="e">
        <f>$R$7*-S15</f>
        <v>#DIV/0!</v>
      </c>
      <c r="S15" s="109" t="e">
        <f>P15</f>
        <v>#DIV/0!</v>
      </c>
      <c r="U15" s="121" t="s">
        <v>281</v>
      </c>
      <c r="W15" s="291">
        <f>SUM(W5:W14)</f>
        <v>0</v>
      </c>
      <c r="X15" s="122">
        <f>SUM(X5:X14)</f>
        <v>0</v>
      </c>
    </row>
    <row r="16" spans="2:24" ht="15" customHeight="1" x14ac:dyDescent="0.2">
      <c r="B16" s="98" t="s">
        <v>103</v>
      </c>
      <c r="C16" s="237"/>
      <c r="E16" s="113" t="s">
        <v>78</v>
      </c>
      <c r="F16" s="114">
        <f>SUM(F10:F15)</f>
        <v>0</v>
      </c>
      <c r="G16" s="115">
        <f>IFERROR(F16/Units,0)</f>
        <v>0</v>
      </c>
      <c r="I16" s="114">
        <f>SUM(I10:I15)</f>
        <v>0</v>
      </c>
      <c r="J16" s="115">
        <f>IFERROR(I16/Units,0)</f>
        <v>0</v>
      </c>
      <c r="L16" s="114" t="e">
        <f>SUM(L10:L15)</f>
        <v>#DIV/0!</v>
      </c>
      <c r="M16" s="116" t="e">
        <f>L16/Units</f>
        <v>#DIV/0!</v>
      </c>
      <c r="O16" s="114" t="e">
        <f>SUM(O10:O15)</f>
        <v>#DIV/0!</v>
      </c>
      <c r="P16" s="115" t="e">
        <f>O16/Units</f>
        <v>#DIV/0!</v>
      </c>
      <c r="R16" s="114" t="e">
        <f>SUM(R10:R15)</f>
        <v>#DIV/0!</v>
      </c>
      <c r="S16" s="115" t="e">
        <f>R16/Units</f>
        <v>#DIV/0!</v>
      </c>
      <c r="U16" s="99" t="s">
        <v>288</v>
      </c>
      <c r="W16" s="292">
        <v>0.12</v>
      </c>
      <c r="X16" s="100">
        <f>W16*X15</f>
        <v>0</v>
      </c>
    </row>
    <row r="17" spans="2:32" ht="15" customHeight="1" x14ac:dyDescent="0.2">
      <c r="B17" s="98" t="s">
        <v>106</v>
      </c>
      <c r="C17" s="238"/>
      <c r="E17" s="123" t="s">
        <v>79</v>
      </c>
      <c r="F17" s="124"/>
      <c r="G17" s="125"/>
      <c r="I17" s="124"/>
      <c r="J17" s="125"/>
      <c r="L17" s="124"/>
      <c r="M17" s="126"/>
      <c r="O17" s="124"/>
      <c r="P17" s="125"/>
      <c r="R17" s="124"/>
      <c r="S17" s="125"/>
      <c r="U17" s="119" t="s">
        <v>282</v>
      </c>
      <c r="V17" s="127"/>
      <c r="W17" s="293">
        <v>0.28000000000000003</v>
      </c>
      <c r="X17" s="120">
        <f>W17*SUM(X15:X16)</f>
        <v>0</v>
      </c>
    </row>
    <row r="18" spans="2:32" ht="15" customHeight="1" x14ac:dyDescent="0.2">
      <c r="B18" s="133" t="s">
        <v>114</v>
      </c>
      <c r="C18" s="257"/>
      <c r="E18" s="105" t="s">
        <v>50</v>
      </c>
      <c r="F18" s="106">
        <f>IFERROR('T12 Clean'!O16,0)</f>
        <v>0</v>
      </c>
      <c r="G18" s="107">
        <f t="shared" ref="G18:G26" si="7">IFERROR(F18/Units,0)</f>
        <v>0</v>
      </c>
      <c r="I18" s="106">
        <f t="shared" ref="I18:I23" si="8">F18</f>
        <v>0</v>
      </c>
      <c r="J18" s="107">
        <f t="shared" ref="J18:J26" si="9">IFERROR(I18/Units,0)</f>
        <v>0</v>
      </c>
      <c r="L18" s="106">
        <f>I18</f>
        <v>0</v>
      </c>
      <c r="M18" s="108" t="e">
        <f t="shared" ref="M18:M26" si="10">L18/Units</f>
        <v>#DIV/0!</v>
      </c>
      <c r="O18" s="128">
        <f>C59</f>
        <v>0</v>
      </c>
      <c r="P18" s="107" t="e">
        <f t="shared" ref="P18:P22" si="11">O18/Units</f>
        <v>#DIV/0!</v>
      </c>
      <c r="R18" s="128">
        <f>O18*(1+$C$38)^($R$3-1)</f>
        <v>0</v>
      </c>
      <c r="S18" s="107" t="e">
        <f t="shared" ref="S18:S22" si="12">R18/Units</f>
        <v>#DIV/0!</v>
      </c>
      <c r="U18" s="129" t="s">
        <v>299</v>
      </c>
      <c r="V18" s="130">
        <f>F34*(1+$C$40)</f>
        <v>0</v>
      </c>
      <c r="W18" s="131" t="s">
        <v>283</v>
      </c>
      <c r="X18" s="132">
        <f>SUM(X15:X17)</f>
        <v>0</v>
      </c>
    </row>
    <row r="19" spans="2:32" ht="15" customHeight="1" x14ac:dyDescent="0.2">
      <c r="C19" s="138"/>
      <c r="E19" s="105" t="s">
        <v>51</v>
      </c>
      <c r="F19" s="106">
        <f>IFERROR('T12 Clean'!O17,0)</f>
        <v>0</v>
      </c>
      <c r="G19" s="107">
        <f t="shared" si="7"/>
        <v>0</v>
      </c>
      <c r="I19" s="106">
        <f t="shared" si="8"/>
        <v>0</v>
      </c>
      <c r="J19" s="107">
        <f t="shared" si="9"/>
        <v>0</v>
      </c>
      <c r="L19" s="106">
        <f t="shared" ref="L19:L23" si="13">I19</f>
        <v>0</v>
      </c>
      <c r="M19" s="108" t="e">
        <f t="shared" si="10"/>
        <v>#DIV/0!</v>
      </c>
      <c r="O19" s="270">
        <f>L19</f>
        <v>0</v>
      </c>
      <c r="P19" s="107" t="e">
        <f t="shared" si="11"/>
        <v>#DIV/0!</v>
      </c>
      <c r="R19" s="128">
        <f>O19*(1+$C$38)^($R$3-1)</f>
        <v>0</v>
      </c>
      <c r="S19" s="107" t="e">
        <f t="shared" si="12"/>
        <v>#DIV/0!</v>
      </c>
      <c r="U19" s="134" t="s">
        <v>289</v>
      </c>
      <c r="V19" s="135" t="e">
        <f>V18/Units</f>
        <v>#DIV/0!</v>
      </c>
      <c r="W19" s="136" t="s">
        <v>289</v>
      </c>
      <c r="X19" s="137" t="e">
        <f>X18/Units</f>
        <v>#DIV/0!</v>
      </c>
    </row>
    <row r="20" spans="2:32" ht="15" customHeight="1" x14ac:dyDescent="0.2">
      <c r="B20" s="294" t="s">
        <v>107</v>
      </c>
      <c r="C20" s="295"/>
      <c r="E20" s="105" t="s">
        <v>52</v>
      </c>
      <c r="F20" s="106">
        <f>IFERROR('T12 Clean'!O18,0)</f>
        <v>0</v>
      </c>
      <c r="G20" s="107">
        <f t="shared" si="7"/>
        <v>0</v>
      </c>
      <c r="I20" s="106">
        <f t="shared" si="8"/>
        <v>0</v>
      </c>
      <c r="J20" s="107">
        <f t="shared" si="9"/>
        <v>0</v>
      </c>
      <c r="L20" s="106">
        <f t="shared" si="13"/>
        <v>0</v>
      </c>
      <c r="M20" s="108" t="e">
        <f t="shared" si="10"/>
        <v>#DIV/0!</v>
      </c>
      <c r="O20" s="270">
        <f t="shared" ref="O20:O22" si="14">L20</f>
        <v>0</v>
      </c>
      <c r="P20" s="107" t="e">
        <f t="shared" si="11"/>
        <v>#DIV/0!</v>
      </c>
      <c r="R20" s="128">
        <f>O20*(1+$C$38)^($R$3-1)</f>
        <v>0</v>
      </c>
      <c r="S20" s="107" t="e">
        <f t="shared" si="12"/>
        <v>#DIV/0!</v>
      </c>
    </row>
    <row r="21" spans="2:32" ht="15" customHeight="1" x14ac:dyDescent="0.2">
      <c r="B21" s="98" t="s">
        <v>108</v>
      </c>
      <c r="C21" s="241"/>
      <c r="E21" s="105" t="s">
        <v>53</v>
      </c>
      <c r="F21" s="106">
        <f>IFERROR('T12 Clean'!O19,0)</f>
        <v>0</v>
      </c>
      <c r="G21" s="107">
        <f t="shared" si="7"/>
        <v>0</v>
      </c>
      <c r="I21" s="106">
        <f t="shared" si="8"/>
        <v>0</v>
      </c>
      <c r="J21" s="107">
        <f t="shared" si="9"/>
        <v>0</v>
      </c>
      <c r="L21" s="106">
        <f t="shared" si="13"/>
        <v>0</v>
      </c>
      <c r="M21" s="108" t="e">
        <f t="shared" si="10"/>
        <v>#DIV/0!</v>
      </c>
      <c r="O21" s="270">
        <f t="shared" si="14"/>
        <v>0</v>
      </c>
      <c r="P21" s="107" t="e">
        <f t="shared" si="11"/>
        <v>#DIV/0!</v>
      </c>
      <c r="R21" s="128">
        <f>O21*(1+$C$38)^($R$3-1)</f>
        <v>0</v>
      </c>
      <c r="S21" s="107" t="e">
        <f t="shared" si="12"/>
        <v>#DIV/0!</v>
      </c>
      <c r="U21" s="294" t="s">
        <v>300</v>
      </c>
      <c r="V21" s="296"/>
      <c r="W21" s="296"/>
      <c r="X21" s="296"/>
      <c r="Y21" s="296"/>
      <c r="Z21" s="296"/>
      <c r="AA21" s="296"/>
      <c r="AB21" s="296"/>
      <c r="AC21" s="296"/>
      <c r="AD21" s="296"/>
      <c r="AE21" s="296"/>
      <c r="AF21" s="295"/>
    </row>
    <row r="22" spans="2:32" ht="15" customHeight="1" x14ac:dyDescent="0.2">
      <c r="B22" s="142" t="s">
        <v>109</v>
      </c>
      <c r="C22" s="143" t="str">
        <f>IF(C21=0,"",CONCATENATE("$",ROUND(C21/Units/1000,),"k / $",ROUND(C21/Units/$C$13,),))</f>
        <v/>
      </c>
      <c r="E22" s="105" t="s">
        <v>54</v>
      </c>
      <c r="F22" s="106">
        <f>IFERROR('T12 Clean'!O20,0)</f>
        <v>0</v>
      </c>
      <c r="G22" s="107">
        <f t="shared" si="7"/>
        <v>0</v>
      </c>
      <c r="I22" s="106">
        <f t="shared" si="8"/>
        <v>0</v>
      </c>
      <c r="J22" s="107">
        <f t="shared" si="9"/>
        <v>0</v>
      </c>
      <c r="L22" s="106">
        <f t="shared" si="13"/>
        <v>0</v>
      </c>
      <c r="M22" s="108" t="e">
        <f t="shared" si="10"/>
        <v>#DIV/0!</v>
      </c>
      <c r="O22" s="270">
        <f t="shared" si="14"/>
        <v>0</v>
      </c>
      <c r="P22" s="107" t="e">
        <f t="shared" si="11"/>
        <v>#DIV/0!</v>
      </c>
      <c r="R22" s="128">
        <f>O22*(1+$C$38)^($R$3-1)</f>
        <v>0</v>
      </c>
      <c r="S22" s="107" t="e">
        <f t="shared" si="12"/>
        <v>#DIV/0!</v>
      </c>
      <c r="U22" s="93" t="s">
        <v>301</v>
      </c>
      <c r="V22" s="250">
        <v>2026</v>
      </c>
      <c r="X22" s="139" t="s">
        <v>322</v>
      </c>
      <c r="Y22" s="140">
        <f>HLOOKUP(V22,V27:AB41,15)</f>
        <v>2210740.318</v>
      </c>
      <c r="AA22" s="141" t="s">
        <v>326</v>
      </c>
      <c r="AB22" s="141">
        <f>C9</f>
        <v>0</v>
      </c>
    </row>
    <row r="23" spans="2:32" ht="15" customHeight="1" x14ac:dyDescent="0.2">
      <c r="B23" s="145" t="str">
        <f>IF(C21&gt;0,CONCATENATE("Purchase Price (",ROUND(C23/C21*100,1),"% whisp.)"),"Purchase Price")</f>
        <v>Purchase Price</v>
      </c>
      <c r="C23" s="242">
        <v>100000000</v>
      </c>
      <c r="E23" s="105" t="s">
        <v>55</v>
      </c>
      <c r="F23" s="106">
        <f>IFERROR('T12 Clean'!O21,0)</f>
        <v>0</v>
      </c>
      <c r="G23" s="144" t="e">
        <f>F23/F37</f>
        <v>#DIV/0!</v>
      </c>
      <c r="I23" s="106">
        <f t="shared" si="8"/>
        <v>0</v>
      </c>
      <c r="J23" s="144" t="e">
        <f>I23/I37</f>
        <v>#DIV/0!</v>
      </c>
      <c r="L23" s="106">
        <f t="shared" si="13"/>
        <v>0</v>
      </c>
      <c r="M23" s="144" t="e">
        <f>L23/L37</f>
        <v>#DIV/0!</v>
      </c>
      <c r="O23" s="106" t="e">
        <f>P23*O37</f>
        <v>#DIV/0!</v>
      </c>
      <c r="P23" s="269" t="e">
        <f>G23</f>
        <v>#DIV/0!</v>
      </c>
      <c r="R23" s="106" t="e">
        <f>S23*R37</f>
        <v>#DIV/0!</v>
      </c>
      <c r="S23" s="144" t="e">
        <f>P23</f>
        <v>#DIV/0!</v>
      </c>
      <c r="U23" s="93" t="s">
        <v>301</v>
      </c>
      <c r="V23" s="283" t="s">
        <v>356</v>
      </c>
      <c r="X23" s="139" t="s">
        <v>323</v>
      </c>
      <c r="Y23" s="250">
        <v>1</v>
      </c>
      <c r="AA23" s="141" t="s">
        <v>327</v>
      </c>
      <c r="AB23" s="141">
        <f>C7</f>
        <v>0</v>
      </c>
    </row>
    <row r="24" spans="2:32" ht="15" customHeight="1" x14ac:dyDescent="0.2">
      <c r="B24" s="142" t="s">
        <v>109</v>
      </c>
      <c r="C24" s="143" t="e">
        <f>IF(C23=0,"",CONCATENATE("$",ROUND(C23/Units/1000,),"k / $",ROUND(C23/Units/$C$13,),))</f>
        <v>#DIV/0!</v>
      </c>
      <c r="E24" s="113" t="s">
        <v>80</v>
      </c>
      <c r="F24" s="114">
        <f>SUM(F18:F23)</f>
        <v>0</v>
      </c>
      <c r="G24" s="115">
        <f t="shared" si="7"/>
        <v>0</v>
      </c>
      <c r="I24" s="114">
        <f>SUM(I18:I23)</f>
        <v>0</v>
      </c>
      <c r="J24" s="115">
        <f t="shared" si="9"/>
        <v>0</v>
      </c>
      <c r="L24" s="114">
        <f>SUM(L18:L23)</f>
        <v>0</v>
      </c>
      <c r="M24" s="116" t="e">
        <f t="shared" si="10"/>
        <v>#DIV/0!</v>
      </c>
      <c r="O24" s="114" t="e">
        <f>SUM(O18:O23)</f>
        <v>#DIV/0!</v>
      </c>
      <c r="P24" s="115" t="e">
        <f>O24/Units</f>
        <v>#DIV/0!</v>
      </c>
      <c r="R24" s="114" t="e">
        <f>SUM(R18:R23)</f>
        <v>#DIV/0!</v>
      </c>
      <c r="S24" s="115" t="e">
        <f>R24/Units</f>
        <v>#DIV/0!</v>
      </c>
      <c r="U24" s="93" t="s">
        <v>302</v>
      </c>
      <c r="V24" s="146">
        <f ca="1">DATE(YEAR($C$10),MONTH($C$10),DAY($C$10)+74)</f>
        <v>46240</v>
      </c>
      <c r="X24" s="139" t="s">
        <v>324</v>
      </c>
      <c r="Y24" s="251">
        <v>0.02</v>
      </c>
    </row>
    <row r="25" spans="2:32" ht="15" customHeight="1" x14ac:dyDescent="0.2">
      <c r="B25" s="98" t="s">
        <v>341</v>
      </c>
      <c r="C25" s="244">
        <v>4.0000000000000001E-3</v>
      </c>
      <c r="E25" s="105" t="s">
        <v>56</v>
      </c>
      <c r="F25" s="106">
        <f>IFERROR('T12 Clean'!O23,0)</f>
        <v>0</v>
      </c>
      <c r="G25" s="107">
        <f t="shared" si="7"/>
        <v>0</v>
      </c>
      <c r="I25" s="106">
        <f>F25</f>
        <v>0</v>
      </c>
      <c r="J25" s="107">
        <f t="shared" si="9"/>
        <v>0</v>
      </c>
      <c r="L25" s="106">
        <f>I25</f>
        <v>0</v>
      </c>
      <c r="M25" s="108" t="e">
        <f t="shared" si="10"/>
        <v>#DIV/0!</v>
      </c>
      <c r="O25" s="106">
        <f>L25</f>
        <v>0</v>
      </c>
      <c r="P25" s="107" t="e">
        <f t="shared" ref="P25:P26" si="15">O25/Units</f>
        <v>#DIV/0!</v>
      </c>
      <c r="R25" s="106">
        <f>O25*(1+$C$38)^($R$3-1)</f>
        <v>0</v>
      </c>
      <c r="S25" s="107" t="e">
        <f t="shared" ref="S25:S26" si="16">R25/Units</f>
        <v>#DIV/0!</v>
      </c>
      <c r="U25" s="93" t="s">
        <v>318</v>
      </c>
      <c r="V25" s="146">
        <f ca="1">EOMONTH(V24,11)</f>
        <v>46599</v>
      </c>
      <c r="X25" s="139" t="s">
        <v>325</v>
      </c>
      <c r="Y25" s="147">
        <f>Y22/(1+Y24)^Y23</f>
        <v>2167392.468627451</v>
      </c>
    </row>
    <row r="26" spans="2:32" ht="15" customHeight="1" x14ac:dyDescent="0.2">
      <c r="B26" s="98" t="s">
        <v>348</v>
      </c>
      <c r="C26" s="244">
        <v>6.0000000000000001E-3</v>
      </c>
      <c r="E26" s="148" t="s">
        <v>81</v>
      </c>
      <c r="F26" s="149">
        <f>SUM(F16,F24:F25)</f>
        <v>0</v>
      </c>
      <c r="G26" s="150">
        <f t="shared" si="7"/>
        <v>0</v>
      </c>
      <c r="I26" s="149">
        <f>SUM(I16,I24:I25)</f>
        <v>0</v>
      </c>
      <c r="J26" s="150">
        <f t="shared" si="9"/>
        <v>0</v>
      </c>
      <c r="L26" s="149" t="e">
        <f>SUM(L16,L24:L25)</f>
        <v>#DIV/0!</v>
      </c>
      <c r="M26" s="151" t="e">
        <f t="shared" si="10"/>
        <v>#DIV/0!</v>
      </c>
      <c r="O26" s="149" t="e">
        <f>SUM(O16,O24:O25)</f>
        <v>#DIV/0!</v>
      </c>
      <c r="P26" s="150" t="e">
        <f t="shared" si="15"/>
        <v>#DIV/0!</v>
      </c>
      <c r="R26" s="149" t="e">
        <f>SUM(R16,R24:R25)</f>
        <v>#DIV/0!</v>
      </c>
      <c r="S26" s="150" t="e">
        <f t="shared" si="16"/>
        <v>#DIV/0!</v>
      </c>
      <c r="AB26" s="152"/>
    </row>
    <row r="27" spans="2:32" ht="15" customHeight="1" x14ac:dyDescent="0.2">
      <c r="B27" s="98" t="s">
        <v>342</v>
      </c>
      <c r="C27" s="211">
        <f>IFERROR(C23+(C23*C25)+(C23*C26)+W60,0)</f>
        <v>0</v>
      </c>
      <c r="E27" s="153"/>
      <c r="F27" s="106"/>
      <c r="G27" s="107"/>
      <c r="I27" s="106"/>
      <c r="J27" s="107"/>
      <c r="L27" s="106"/>
      <c r="M27" s="108"/>
      <c r="O27" s="106"/>
      <c r="P27" s="107"/>
      <c r="R27" s="106"/>
      <c r="S27" s="107"/>
      <c r="U27" s="127" t="s">
        <v>303</v>
      </c>
      <c r="V27" s="154">
        <v>2024</v>
      </c>
      <c r="W27" s="155">
        <f>V27+1</f>
        <v>2025</v>
      </c>
      <c r="X27" s="155">
        <f t="shared" ref="X27:AB27" si="17">W27+1</f>
        <v>2026</v>
      </c>
      <c r="Y27" s="155">
        <f t="shared" si="17"/>
        <v>2027</v>
      </c>
      <c r="Z27" s="155">
        <f t="shared" si="17"/>
        <v>2028</v>
      </c>
      <c r="AA27" s="155">
        <f t="shared" si="17"/>
        <v>2029</v>
      </c>
      <c r="AB27" s="155">
        <f t="shared" si="17"/>
        <v>2030</v>
      </c>
      <c r="AC27" s="155">
        <f t="shared" ref="AC27:AF27" si="18">AB27+1</f>
        <v>2031</v>
      </c>
      <c r="AD27" s="155">
        <f t="shared" si="18"/>
        <v>2032</v>
      </c>
      <c r="AE27" s="155">
        <f t="shared" si="18"/>
        <v>2033</v>
      </c>
      <c r="AF27" s="155">
        <f t="shared" si="18"/>
        <v>2034</v>
      </c>
    </row>
    <row r="28" spans="2:32" ht="15" customHeight="1" x14ac:dyDescent="0.2">
      <c r="B28" s="142" t="s">
        <v>109</v>
      </c>
      <c r="C28" s="143" t="str">
        <f>IF(C27=0,"",CONCATENATE("$",ROUND(C27/Units/1000,),"k / $",ROUND(C27/Units/$C$13,),))</f>
        <v/>
      </c>
      <c r="E28" s="123" t="s">
        <v>82</v>
      </c>
      <c r="F28" s="157" t="str">
        <f>F6</f>
        <v>Jul-25 T12</v>
      </c>
      <c r="G28" s="158" t="str">
        <f>G6</f>
        <v>Per Unit</v>
      </c>
      <c r="I28" s="157" t="str">
        <f>I6</f>
        <v>RET &amp; OpEx adj.</v>
      </c>
      <c r="J28" s="158" t="str">
        <f>J6</f>
        <v>Per Unit</v>
      </c>
      <c r="L28" s="157" t="str">
        <f>L6</f>
        <v>Stabilized Losses</v>
      </c>
      <c r="M28" s="159" t="str">
        <f>M6</f>
        <v>Per Unit</v>
      </c>
      <c r="O28" s="157" t="str">
        <f>O6</f>
        <v>Untrended</v>
      </c>
      <c r="P28" s="158"/>
      <c r="R28" s="157" t="str">
        <f>R6</f>
        <v>Trended</v>
      </c>
      <c r="S28" s="158"/>
      <c r="U28" s="93" t="s">
        <v>304</v>
      </c>
      <c r="W28" s="251">
        <v>0.02</v>
      </c>
      <c r="X28" s="160">
        <f>W28</f>
        <v>0.02</v>
      </c>
      <c r="Y28" s="160">
        <f t="shared" ref="Y28:AA28" si="19">X28</f>
        <v>0.02</v>
      </c>
      <c r="Z28" s="160">
        <f t="shared" si="19"/>
        <v>0.02</v>
      </c>
      <c r="AA28" s="160">
        <f t="shared" si="19"/>
        <v>0.02</v>
      </c>
      <c r="AB28" s="160">
        <f t="shared" ref="AB28:AF28" si="20">AA28</f>
        <v>0.02</v>
      </c>
      <c r="AC28" s="160">
        <f t="shared" si="20"/>
        <v>0.02</v>
      </c>
      <c r="AD28" s="160">
        <f t="shared" si="20"/>
        <v>0.02</v>
      </c>
      <c r="AE28" s="160">
        <f t="shared" si="20"/>
        <v>0.02</v>
      </c>
      <c r="AF28" s="160">
        <f t="shared" si="20"/>
        <v>0.02</v>
      </c>
    </row>
    <row r="29" spans="2:32" ht="15" customHeight="1" x14ac:dyDescent="0.2">
      <c r="B29" s="217" t="s">
        <v>337</v>
      </c>
      <c r="C29" s="243">
        <v>5.2499999999999998E-2</v>
      </c>
      <c r="E29" s="105" t="s">
        <v>57</v>
      </c>
      <c r="F29" s="161">
        <f>IFERROR('T12 Clean'!O27,0)</f>
        <v>0</v>
      </c>
      <c r="G29" s="107">
        <f t="shared" ref="G29:G34" si="21">IFERROR(F29/Units,0)</f>
        <v>0</v>
      </c>
      <c r="I29" s="161">
        <f t="shared" ref="I29:I34" si="22">J29*Units</f>
        <v>0</v>
      </c>
      <c r="J29" s="265">
        <f>G29*(1+$C$40)</f>
        <v>0</v>
      </c>
      <c r="L29" s="162">
        <f>I29</f>
        <v>0</v>
      </c>
      <c r="M29" s="108" t="e">
        <f t="shared" ref="M29:M35" si="23">L29/Units</f>
        <v>#DIV/0!</v>
      </c>
      <c r="O29" s="162">
        <f>L29</f>
        <v>0</v>
      </c>
      <c r="P29" s="107" t="e">
        <f t="shared" ref="P29:P35" si="24">O29/Units</f>
        <v>#DIV/0!</v>
      </c>
      <c r="R29" s="162">
        <f t="shared" ref="R29:R34" si="25">O29*(1+$C$40)^($R$3-1)</f>
        <v>0</v>
      </c>
      <c r="S29" s="107" t="e">
        <f t="shared" ref="S29:S35" si="26">R29/Units</f>
        <v>#DIV/0!</v>
      </c>
      <c r="U29" s="93" t="s">
        <v>305</v>
      </c>
      <c r="V29" s="252">
        <v>90000000</v>
      </c>
      <c r="W29" s="252">
        <v>90000000</v>
      </c>
      <c r="X29" s="140">
        <f t="shared" ref="X29:AF29" si="27">IF($V$22=X27,$C$23,W29*(1+X28))</f>
        <v>100000000</v>
      </c>
      <c r="Y29" s="140">
        <f t="shared" si="27"/>
        <v>102000000</v>
      </c>
      <c r="Z29" s="140">
        <f t="shared" si="27"/>
        <v>104040000</v>
      </c>
      <c r="AA29" s="140">
        <f t="shared" si="27"/>
        <v>106120800</v>
      </c>
      <c r="AB29" s="140">
        <f t="shared" si="27"/>
        <v>108243216</v>
      </c>
      <c r="AC29" s="140">
        <f t="shared" si="27"/>
        <v>110408080.32000001</v>
      </c>
      <c r="AD29" s="140">
        <f t="shared" si="27"/>
        <v>112616241.92640001</v>
      </c>
      <c r="AE29" s="140">
        <f t="shared" si="27"/>
        <v>114868566.76492801</v>
      </c>
      <c r="AF29" s="140">
        <f t="shared" si="27"/>
        <v>117165938.10022658</v>
      </c>
    </row>
    <row r="30" spans="2:32" ht="15" customHeight="1" x14ac:dyDescent="0.2">
      <c r="B30" s="98" t="s">
        <v>338</v>
      </c>
      <c r="C30" s="211">
        <f>IFERROR((R46-(J47*(1+$C$40)^(R3-1))*Units)/C29,0)</f>
        <v>0</v>
      </c>
      <c r="E30" s="105" t="s">
        <v>58</v>
      </c>
      <c r="F30" s="128">
        <f>IFERROR('T12 Clean'!O28,0)</f>
        <v>0</v>
      </c>
      <c r="G30" s="107">
        <f t="shared" si="21"/>
        <v>0</v>
      </c>
      <c r="I30" s="128">
        <f t="shared" si="22"/>
        <v>0</v>
      </c>
      <c r="J30" s="265">
        <f t="shared" ref="J30:J33" si="28">G30*(1+$C$40)</f>
        <v>0</v>
      </c>
      <c r="L30" s="106">
        <f t="shared" ref="L30:L34" si="29">I30</f>
        <v>0</v>
      </c>
      <c r="M30" s="108" t="e">
        <f t="shared" si="23"/>
        <v>#DIV/0!</v>
      </c>
      <c r="O30" s="106">
        <f t="shared" ref="O30:O34" si="30">L30</f>
        <v>0</v>
      </c>
      <c r="P30" s="107" t="e">
        <f t="shared" si="24"/>
        <v>#DIV/0!</v>
      </c>
      <c r="R30" s="106">
        <f t="shared" si="25"/>
        <v>0</v>
      </c>
      <c r="S30" s="107" t="e">
        <f t="shared" si="26"/>
        <v>#DIV/0!</v>
      </c>
      <c r="U30" s="93" t="s">
        <v>306</v>
      </c>
      <c r="W30" s="218">
        <v>1</v>
      </c>
      <c r="X30" s="258">
        <v>1</v>
      </c>
      <c r="Y30" s="219">
        <f t="shared" ref="Y30:AA30" si="31">X30</f>
        <v>1</v>
      </c>
      <c r="Z30" s="219">
        <f t="shared" si="31"/>
        <v>1</v>
      </c>
      <c r="AA30" s="219">
        <f t="shared" si="31"/>
        <v>1</v>
      </c>
      <c r="AB30" s="219">
        <f t="shared" ref="AB30:AF30" si="32">AA30</f>
        <v>1</v>
      </c>
      <c r="AC30" s="219">
        <f t="shared" si="32"/>
        <v>1</v>
      </c>
      <c r="AD30" s="219">
        <f t="shared" si="32"/>
        <v>1</v>
      </c>
      <c r="AE30" s="219">
        <f t="shared" si="32"/>
        <v>1</v>
      </c>
      <c r="AF30" s="219">
        <f t="shared" si="32"/>
        <v>1</v>
      </c>
    </row>
    <row r="31" spans="2:32" ht="15" customHeight="1" x14ac:dyDescent="0.2">
      <c r="B31" s="142" t="s">
        <v>109</v>
      </c>
      <c r="C31" s="143" t="str">
        <f>IF(C30=0,"",CONCATENATE("$",ROUND(C30/Units/1000,),"k / $",ROUND(C30/Units/$C$13,),))</f>
        <v/>
      </c>
      <c r="E31" s="105" t="s">
        <v>59</v>
      </c>
      <c r="F31" s="128">
        <f>IFERROR('T12 Clean'!O29,0)</f>
        <v>0</v>
      </c>
      <c r="G31" s="107">
        <f t="shared" si="21"/>
        <v>0</v>
      </c>
      <c r="I31" s="128">
        <f t="shared" si="22"/>
        <v>0</v>
      </c>
      <c r="J31" s="265">
        <f t="shared" si="28"/>
        <v>0</v>
      </c>
      <c r="L31" s="106">
        <f t="shared" si="29"/>
        <v>0</v>
      </c>
      <c r="M31" s="108" t="e">
        <f t="shared" si="23"/>
        <v>#DIV/0!</v>
      </c>
      <c r="O31" s="106">
        <f t="shared" si="30"/>
        <v>0</v>
      </c>
      <c r="P31" s="107" t="e">
        <f t="shared" si="24"/>
        <v>#DIV/0!</v>
      </c>
      <c r="R31" s="106">
        <f t="shared" si="25"/>
        <v>0</v>
      </c>
      <c r="S31" s="107" t="e">
        <f t="shared" si="26"/>
        <v>#DIV/0!</v>
      </c>
      <c r="U31" s="93" t="s">
        <v>307</v>
      </c>
      <c r="V31" s="140">
        <f>V29</f>
        <v>90000000</v>
      </c>
      <c r="W31" s="140">
        <f>W29*W30</f>
        <v>90000000</v>
      </c>
      <c r="X31" s="140">
        <f t="shared" ref="X31:AB31" si="33">X29*X30</f>
        <v>100000000</v>
      </c>
      <c r="Y31" s="140">
        <f t="shared" si="33"/>
        <v>102000000</v>
      </c>
      <c r="Z31" s="140">
        <f t="shared" si="33"/>
        <v>104040000</v>
      </c>
      <c r="AA31" s="140">
        <f t="shared" si="33"/>
        <v>106120800</v>
      </c>
      <c r="AB31" s="140">
        <f t="shared" si="33"/>
        <v>108243216</v>
      </c>
      <c r="AC31" s="140">
        <f t="shared" ref="AC31" si="34">AC29*AC30</f>
        <v>110408080.32000001</v>
      </c>
      <c r="AD31" s="140">
        <f t="shared" ref="AD31" si="35">AD29*AD30</f>
        <v>112616241.92640001</v>
      </c>
      <c r="AE31" s="140">
        <f t="shared" ref="AE31" si="36">AE29*AE30</f>
        <v>114868566.76492801</v>
      </c>
      <c r="AF31" s="140">
        <f t="shared" ref="AF31" si="37">AF29*AF30</f>
        <v>117165938.10022658</v>
      </c>
    </row>
    <row r="32" spans="2:32" ht="15" customHeight="1" x14ac:dyDescent="0.2">
      <c r="B32" s="133" t="s">
        <v>339</v>
      </c>
      <c r="C32" s="227">
        <f>IFERROR(RATE(R3-1,0,-C27-W60,C30),0)</f>
        <v>0</v>
      </c>
      <c r="E32" s="105" t="s">
        <v>60</v>
      </c>
      <c r="F32" s="128">
        <f>IFERROR('T12 Clean'!O30,0)</f>
        <v>0</v>
      </c>
      <c r="G32" s="107">
        <f t="shared" si="21"/>
        <v>0</v>
      </c>
      <c r="I32" s="128">
        <f t="shared" si="22"/>
        <v>0</v>
      </c>
      <c r="J32" s="265">
        <f t="shared" si="28"/>
        <v>0</v>
      </c>
      <c r="L32" s="106">
        <f t="shared" si="29"/>
        <v>0</v>
      </c>
      <c r="M32" s="108" t="e">
        <f t="shared" si="23"/>
        <v>#DIV/0!</v>
      </c>
      <c r="O32" s="106">
        <f t="shared" si="30"/>
        <v>0</v>
      </c>
      <c r="P32" s="107" t="e">
        <f t="shared" si="24"/>
        <v>#DIV/0!</v>
      </c>
      <c r="R32" s="106">
        <f t="shared" si="25"/>
        <v>0</v>
      </c>
      <c r="S32" s="107" t="e">
        <f t="shared" si="26"/>
        <v>#DIV/0!</v>
      </c>
      <c r="U32" s="93" t="s">
        <v>308</v>
      </c>
      <c r="V32" s="259">
        <v>1</v>
      </c>
      <c r="W32" s="160">
        <f>V32</f>
        <v>1</v>
      </c>
      <c r="X32" s="160">
        <f t="shared" ref="X32:AA32" si="38">W32</f>
        <v>1</v>
      </c>
      <c r="Y32" s="160">
        <f t="shared" si="38"/>
        <v>1</v>
      </c>
      <c r="Z32" s="160">
        <f t="shared" si="38"/>
        <v>1</v>
      </c>
      <c r="AA32" s="160">
        <f t="shared" si="38"/>
        <v>1</v>
      </c>
      <c r="AB32" s="160">
        <f t="shared" ref="AB32:AF32" si="39">AA32</f>
        <v>1</v>
      </c>
      <c r="AC32" s="160">
        <f t="shared" si="39"/>
        <v>1</v>
      </c>
      <c r="AD32" s="160">
        <f t="shared" si="39"/>
        <v>1</v>
      </c>
      <c r="AE32" s="160">
        <f t="shared" si="39"/>
        <v>1</v>
      </c>
      <c r="AF32" s="160">
        <f t="shared" si="39"/>
        <v>1</v>
      </c>
    </row>
    <row r="33" spans="2:32" ht="15" customHeight="1" x14ac:dyDescent="0.2">
      <c r="E33" s="105" t="s">
        <v>61</v>
      </c>
      <c r="F33" s="128">
        <f>IFERROR('T12 Clean'!O31,0)</f>
        <v>0</v>
      </c>
      <c r="G33" s="107">
        <f t="shared" si="21"/>
        <v>0</v>
      </c>
      <c r="I33" s="128">
        <f t="shared" si="22"/>
        <v>0</v>
      </c>
      <c r="J33" s="265">
        <f t="shared" si="28"/>
        <v>0</v>
      </c>
      <c r="L33" s="106">
        <f t="shared" si="29"/>
        <v>0</v>
      </c>
      <c r="M33" s="108" t="e">
        <f t="shared" si="23"/>
        <v>#DIV/0!</v>
      </c>
      <c r="O33" s="106">
        <f t="shared" si="30"/>
        <v>0</v>
      </c>
      <c r="P33" s="107" t="e">
        <f t="shared" si="24"/>
        <v>#DIV/0!</v>
      </c>
      <c r="R33" s="106">
        <f t="shared" si="25"/>
        <v>0</v>
      </c>
      <c r="S33" s="107" t="e">
        <f t="shared" si="26"/>
        <v>#DIV/0!</v>
      </c>
      <c r="U33" s="93" t="s">
        <v>309</v>
      </c>
      <c r="V33" s="140">
        <f>V31*V32</f>
        <v>90000000</v>
      </c>
      <c r="W33" s="140">
        <f t="shared" ref="W33:AB33" si="40">W31*W32</f>
        <v>90000000</v>
      </c>
      <c r="X33" s="140">
        <f t="shared" si="40"/>
        <v>100000000</v>
      </c>
      <c r="Y33" s="140">
        <f t="shared" si="40"/>
        <v>102000000</v>
      </c>
      <c r="Z33" s="140">
        <f t="shared" si="40"/>
        <v>104040000</v>
      </c>
      <c r="AA33" s="140">
        <f t="shared" si="40"/>
        <v>106120800</v>
      </c>
      <c r="AB33" s="140">
        <f t="shared" si="40"/>
        <v>108243216</v>
      </c>
      <c r="AC33" s="140">
        <f t="shared" ref="AC33" si="41">AC31*AC32</f>
        <v>110408080.32000001</v>
      </c>
      <c r="AD33" s="140">
        <f t="shared" ref="AD33" si="42">AD31*AD32</f>
        <v>112616241.92640001</v>
      </c>
      <c r="AE33" s="140">
        <f t="shared" ref="AE33" si="43">AE31*AE32</f>
        <v>114868566.76492801</v>
      </c>
      <c r="AF33" s="140">
        <f t="shared" ref="AF33" si="44">AF31*AF32</f>
        <v>117165938.10022658</v>
      </c>
    </row>
    <row r="34" spans="2:32" ht="15" customHeight="1" x14ac:dyDescent="0.2">
      <c r="B34" s="294" t="s">
        <v>123</v>
      </c>
      <c r="C34" s="295"/>
      <c r="E34" s="105" t="s">
        <v>62</v>
      </c>
      <c r="F34" s="128">
        <f>IFERROR('T12 Clean'!O32,0)</f>
        <v>0</v>
      </c>
      <c r="G34" s="107">
        <f t="shared" si="21"/>
        <v>0</v>
      </c>
      <c r="I34" s="128" t="e">
        <f t="shared" si="22"/>
        <v>#DIV/0!</v>
      </c>
      <c r="J34" s="163" t="e">
        <f>IF(X19&gt;0,X19,V19)</f>
        <v>#DIV/0!</v>
      </c>
      <c r="L34" s="106" t="e">
        <f t="shared" si="29"/>
        <v>#DIV/0!</v>
      </c>
      <c r="M34" s="108" t="e">
        <f t="shared" si="23"/>
        <v>#DIV/0!</v>
      </c>
      <c r="O34" s="106" t="e">
        <f t="shared" si="30"/>
        <v>#DIV/0!</v>
      </c>
      <c r="P34" s="107" t="e">
        <f t="shared" si="24"/>
        <v>#DIV/0!</v>
      </c>
      <c r="R34" s="106" t="e">
        <f t="shared" si="25"/>
        <v>#DIV/0!</v>
      </c>
      <c r="S34" s="107" t="e">
        <f t="shared" si="26"/>
        <v>#DIV/0!</v>
      </c>
      <c r="U34" s="164" t="s">
        <v>310</v>
      </c>
      <c r="V34" s="164"/>
      <c r="W34" s="253">
        <v>0.01</v>
      </c>
      <c r="X34" s="165">
        <f>W34</f>
        <v>0.01</v>
      </c>
      <c r="Y34" s="165">
        <f t="shared" ref="Y34:AA34" si="45">X34</f>
        <v>0.01</v>
      </c>
      <c r="Z34" s="165">
        <f t="shared" si="45"/>
        <v>0.01</v>
      </c>
      <c r="AA34" s="165">
        <f t="shared" si="45"/>
        <v>0.01</v>
      </c>
      <c r="AB34" s="165">
        <f t="shared" ref="AB34:AF34" si="46">AA34</f>
        <v>0.01</v>
      </c>
      <c r="AC34" s="165">
        <f t="shared" si="46"/>
        <v>0.01</v>
      </c>
      <c r="AD34" s="165">
        <f t="shared" si="46"/>
        <v>0.01</v>
      </c>
      <c r="AE34" s="165">
        <f t="shared" si="46"/>
        <v>0.01</v>
      </c>
      <c r="AF34" s="165">
        <f t="shared" si="46"/>
        <v>0.01</v>
      </c>
    </row>
    <row r="35" spans="2:32" ht="15" customHeight="1" x14ac:dyDescent="0.2">
      <c r="B35" s="98" t="s">
        <v>328</v>
      </c>
      <c r="C35" s="156">
        <v>0.03</v>
      </c>
      <c r="E35" s="113" t="s">
        <v>83</v>
      </c>
      <c r="F35" s="114">
        <f>SUM(F29:F34)</f>
        <v>0</v>
      </c>
      <c r="G35" s="115">
        <f t="shared" ref="G35" si="47">IFERROR(F35/Units,0)</f>
        <v>0</v>
      </c>
      <c r="I35" s="114" t="e">
        <f>SUM(I29:I34)</f>
        <v>#DIV/0!</v>
      </c>
      <c r="J35" s="115">
        <f t="shared" ref="J35" si="48">IFERROR(I35/Units,0)</f>
        <v>0</v>
      </c>
      <c r="L35" s="114" t="e">
        <f>SUM(L29:L34)</f>
        <v>#DIV/0!</v>
      </c>
      <c r="M35" s="116" t="e">
        <f t="shared" si="23"/>
        <v>#DIV/0!</v>
      </c>
      <c r="O35" s="114" t="e">
        <f>SUM(O29:O34)</f>
        <v>#DIV/0!</v>
      </c>
      <c r="P35" s="115" t="e">
        <f t="shared" si="24"/>
        <v>#DIV/0!</v>
      </c>
      <c r="R35" s="114" t="e">
        <f>SUM(R29:R34)</f>
        <v>#DIV/0!</v>
      </c>
      <c r="S35" s="115" t="e">
        <f t="shared" si="26"/>
        <v>#DIV/0!</v>
      </c>
      <c r="U35" s="127" t="s">
        <v>311</v>
      </c>
      <c r="V35" s="254">
        <v>2.1171800000000001E-2</v>
      </c>
      <c r="W35" s="167">
        <f>V35*(1+W34)</f>
        <v>2.1383518000000001E-2</v>
      </c>
      <c r="X35" s="167">
        <f t="shared" ref="X35:AB35" si="49">W35*(1+X34)</f>
        <v>2.1597353180000001E-2</v>
      </c>
      <c r="Y35" s="167">
        <f t="shared" si="49"/>
        <v>2.1813326711800002E-2</v>
      </c>
      <c r="Z35" s="167">
        <f t="shared" si="49"/>
        <v>2.2031459978918002E-2</v>
      </c>
      <c r="AA35" s="167">
        <f t="shared" si="49"/>
        <v>2.2251774578707181E-2</v>
      </c>
      <c r="AB35" s="167">
        <f t="shared" si="49"/>
        <v>2.2474292324494254E-2</v>
      </c>
      <c r="AC35" s="167">
        <f t="shared" ref="AC35" si="50">AB35*(1+AC34)</f>
        <v>2.2699035247739197E-2</v>
      </c>
      <c r="AD35" s="167">
        <f t="shared" ref="AD35" si="51">AC35*(1+AD34)</f>
        <v>2.2926025600216587E-2</v>
      </c>
      <c r="AE35" s="167">
        <f t="shared" ref="AE35" si="52">AD35*(1+AE34)</f>
        <v>2.3155285856218753E-2</v>
      </c>
      <c r="AF35" s="167">
        <f t="shared" ref="AF35" si="53">AE35*(1+AF34)</f>
        <v>2.3386838714780939E-2</v>
      </c>
    </row>
    <row r="36" spans="2:32" ht="15" customHeight="1" x14ac:dyDescent="0.2">
      <c r="B36" s="98" t="s">
        <v>117</v>
      </c>
      <c r="C36" s="156">
        <v>0.02</v>
      </c>
      <c r="E36" s="123" t="s">
        <v>84</v>
      </c>
      <c r="F36" s="169"/>
      <c r="G36" s="170"/>
      <c r="I36" s="169"/>
      <c r="J36" s="171" t="e">
        <f>J35/G35-1</f>
        <v>#DIV/0!</v>
      </c>
      <c r="L36" s="169"/>
      <c r="M36" s="172"/>
      <c r="O36" s="169"/>
      <c r="P36" s="170"/>
      <c r="R36" s="169"/>
      <c r="S36" s="170"/>
      <c r="U36" s="152" t="s">
        <v>312</v>
      </c>
      <c r="V36" s="173">
        <f>V33*V35</f>
        <v>1905462</v>
      </c>
      <c r="W36" s="173">
        <f t="shared" ref="W36:AB36" si="54">W33*W35</f>
        <v>1924516.62</v>
      </c>
      <c r="X36" s="173">
        <f t="shared" si="54"/>
        <v>2159735.318</v>
      </c>
      <c r="Y36" s="173">
        <f t="shared" si="54"/>
        <v>2224959.3246036</v>
      </c>
      <c r="Z36" s="173">
        <f t="shared" si="54"/>
        <v>2292153.0962066287</v>
      </c>
      <c r="AA36" s="173">
        <f t="shared" si="54"/>
        <v>2361376.1197120692</v>
      </c>
      <c r="AB36" s="173">
        <f t="shared" si="54"/>
        <v>2432689.6785273738</v>
      </c>
      <c r="AC36" s="173">
        <f t="shared" ref="AC36" si="55">AC33*AC35</f>
        <v>2506156.9068189003</v>
      </c>
      <c r="AD36" s="173">
        <f t="shared" ref="AD36" si="56">AD33*AD35</f>
        <v>2581842.8454048312</v>
      </c>
      <c r="AE36" s="173">
        <f t="shared" ref="AE36" si="57">AE33*AE35</f>
        <v>2659814.4993360573</v>
      </c>
      <c r="AF36" s="173">
        <f t="shared" ref="AF36" si="58">AF33*AF35</f>
        <v>2740140.8972160062</v>
      </c>
    </row>
    <row r="37" spans="2:32" ht="15" customHeight="1" x14ac:dyDescent="0.2">
      <c r="B37" s="112" t="s">
        <v>340</v>
      </c>
      <c r="C37" s="245">
        <v>0.03</v>
      </c>
      <c r="E37" s="105" t="s">
        <v>63</v>
      </c>
      <c r="F37" s="128">
        <f>IFERROR('T12 Clean'!O35,0)</f>
        <v>0</v>
      </c>
      <c r="G37" s="107">
        <f t="shared" ref="G37" si="59">IFERROR(F37/Units,0)</f>
        <v>0</v>
      </c>
      <c r="I37" s="128">
        <f>J37*Units</f>
        <v>0</v>
      </c>
      <c r="J37" s="265">
        <f>G37*(1+$C$40)</f>
        <v>0</v>
      </c>
      <c r="L37" s="106">
        <f>I37</f>
        <v>0</v>
      </c>
      <c r="M37" s="108" t="e">
        <f t="shared" ref="M37:M44" si="60">L37/Units</f>
        <v>#DIV/0!</v>
      </c>
      <c r="O37" s="106">
        <f>L37</f>
        <v>0</v>
      </c>
      <c r="P37" s="107" t="e">
        <f t="shared" ref="P37" si="61">O37/Units</f>
        <v>#DIV/0!</v>
      </c>
      <c r="R37" s="106">
        <f>O37*(1+$C$40)^($R$3-1)</f>
        <v>0</v>
      </c>
      <c r="S37" s="107" t="e">
        <f t="shared" ref="S37" si="62">R37/Units</f>
        <v>#DIV/0!</v>
      </c>
      <c r="U37" s="164" t="s">
        <v>313</v>
      </c>
      <c r="V37" s="164"/>
      <c r="W37" s="253">
        <v>0.01</v>
      </c>
      <c r="X37" s="165">
        <f>W37</f>
        <v>0.01</v>
      </c>
      <c r="Y37" s="165">
        <f t="shared" ref="Y37:AF37" si="63">X37</f>
        <v>0.01</v>
      </c>
      <c r="Z37" s="165">
        <f t="shared" si="63"/>
        <v>0.01</v>
      </c>
      <c r="AA37" s="165">
        <f t="shared" si="63"/>
        <v>0.01</v>
      </c>
      <c r="AB37" s="165">
        <f t="shared" si="63"/>
        <v>0.01</v>
      </c>
      <c r="AC37" s="165">
        <f t="shared" si="63"/>
        <v>0.01</v>
      </c>
      <c r="AD37" s="165">
        <f t="shared" si="63"/>
        <v>0.01</v>
      </c>
      <c r="AE37" s="165">
        <f t="shared" si="63"/>
        <v>0.01</v>
      </c>
      <c r="AF37" s="165">
        <f t="shared" si="63"/>
        <v>0.01</v>
      </c>
    </row>
    <row r="38" spans="2:32" ht="15" customHeight="1" x14ac:dyDescent="0.2">
      <c r="B38" s="98" t="s">
        <v>118</v>
      </c>
      <c r="C38" s="156">
        <v>0.03</v>
      </c>
      <c r="E38" s="105" t="s">
        <v>111</v>
      </c>
      <c r="F38" s="128">
        <f>IFERROR('T12 Clean'!O36,0)</f>
        <v>0</v>
      </c>
      <c r="G38" s="109">
        <f>IFERROR(F38/'T12 Clean'!O24,0)</f>
        <v>0</v>
      </c>
      <c r="I38" s="128">
        <f>J38*I26</f>
        <v>0</v>
      </c>
      <c r="J38" s="266">
        <v>0.02</v>
      </c>
      <c r="L38" s="106" t="e">
        <f>M38*L26</f>
        <v>#DIV/0!</v>
      </c>
      <c r="M38" s="109">
        <f>J38</f>
        <v>0.02</v>
      </c>
      <c r="O38" s="106" t="e">
        <f>P38*O26</f>
        <v>#DIV/0!</v>
      </c>
      <c r="P38" s="109">
        <f>M38</f>
        <v>0.02</v>
      </c>
      <c r="R38" s="106" t="e">
        <f>S38*R26</f>
        <v>#DIV/0!</v>
      </c>
      <c r="S38" s="109">
        <f>P38</f>
        <v>0.02</v>
      </c>
      <c r="U38" s="127" t="s">
        <v>314</v>
      </c>
      <c r="V38" s="255">
        <v>50000</v>
      </c>
      <c r="W38" s="175">
        <f>V38*(1+W37)</f>
        <v>50500</v>
      </c>
      <c r="X38" s="175">
        <f t="shared" ref="X38:AB38" si="64">W38*(1+X37)</f>
        <v>51005</v>
      </c>
      <c r="Y38" s="175">
        <f t="shared" si="64"/>
        <v>51515.05</v>
      </c>
      <c r="Z38" s="175">
        <f t="shared" si="64"/>
        <v>52030.200500000006</v>
      </c>
      <c r="AA38" s="175">
        <f t="shared" si="64"/>
        <v>52550.502505000004</v>
      </c>
      <c r="AB38" s="175">
        <f t="shared" si="64"/>
        <v>53076.007530050003</v>
      </c>
      <c r="AC38" s="175">
        <f t="shared" ref="AC38" si="65">AB38*(1+AC37)</f>
        <v>53606.767605350506</v>
      </c>
      <c r="AD38" s="175">
        <f t="shared" ref="AD38" si="66">AC38*(1+AD37)</f>
        <v>54142.835281404012</v>
      </c>
      <c r="AE38" s="175">
        <f t="shared" ref="AE38" si="67">AD38*(1+AE37)</f>
        <v>54684.263634218056</v>
      </c>
      <c r="AF38" s="175">
        <f t="shared" ref="AF38" si="68">AE38*(1+AF37)</f>
        <v>55231.106270560238</v>
      </c>
    </row>
    <row r="39" spans="2:32" ht="15" customHeight="1" x14ac:dyDescent="0.2">
      <c r="B39" s="112" t="s">
        <v>121</v>
      </c>
      <c r="C39" s="245">
        <v>0.03</v>
      </c>
      <c r="E39" s="105" t="s">
        <v>29</v>
      </c>
      <c r="F39" s="128">
        <f>IFERROR('T12 Clean'!O37,0)</f>
        <v>0</v>
      </c>
      <c r="G39" s="107">
        <f t="shared" ref="G39:G41" si="69">IFERROR(F39/Units,0)</f>
        <v>0</v>
      </c>
      <c r="I39" s="128">
        <f>J39*Units</f>
        <v>0</v>
      </c>
      <c r="J39" s="265">
        <f>G39*(1+$C$41)</f>
        <v>0</v>
      </c>
      <c r="L39" s="106">
        <f t="shared" ref="L39:L41" si="70">I39</f>
        <v>0</v>
      </c>
      <c r="M39" s="108" t="e">
        <f t="shared" si="60"/>
        <v>#DIV/0!</v>
      </c>
      <c r="O39" s="106">
        <f t="shared" ref="O39:O41" si="71">L39</f>
        <v>0</v>
      </c>
      <c r="P39" s="107" t="e">
        <f t="shared" ref="P39:P42" si="72">O39/Units</f>
        <v>#DIV/0!</v>
      </c>
      <c r="R39" s="106">
        <f>O39*(1+$C$41)^($R$3-1)</f>
        <v>0</v>
      </c>
      <c r="S39" s="107" t="e">
        <f t="shared" ref="S39:S48" si="73">R39/Units</f>
        <v>#DIV/0!</v>
      </c>
      <c r="U39" s="177" t="s">
        <v>315</v>
      </c>
      <c r="V39" s="178">
        <f>SUM(V36,V38)</f>
        <v>1955462</v>
      </c>
      <c r="W39" s="178">
        <f t="shared" ref="W39:AB39" si="74">SUM(W36,W38)</f>
        <v>1975016.62</v>
      </c>
      <c r="X39" s="178">
        <f t="shared" si="74"/>
        <v>2210740.318</v>
      </c>
      <c r="Y39" s="178">
        <f t="shared" si="74"/>
        <v>2276474.3746035998</v>
      </c>
      <c r="Z39" s="178">
        <f t="shared" si="74"/>
        <v>2344183.2967066285</v>
      </c>
      <c r="AA39" s="178">
        <f t="shared" si="74"/>
        <v>2413926.6222170694</v>
      </c>
      <c r="AB39" s="178">
        <f t="shared" si="74"/>
        <v>2485765.6860574237</v>
      </c>
      <c r="AC39" s="178">
        <f t="shared" ref="AC39" si="75">SUM(AC36,AC38)</f>
        <v>2559763.6744242506</v>
      </c>
      <c r="AD39" s="178">
        <f t="shared" ref="AD39" si="76">SUM(AD36,AD38)</f>
        <v>2635985.6806862354</v>
      </c>
      <c r="AE39" s="178">
        <f t="shared" ref="AE39" si="77">SUM(AE36,AE38)</f>
        <v>2714498.7629702752</v>
      </c>
      <c r="AF39" s="178">
        <f t="shared" ref="AF39" si="78">SUM(AF36,AF38)</f>
        <v>2795372.0034865662</v>
      </c>
    </row>
    <row r="40" spans="2:32" ht="15" customHeight="1" x14ac:dyDescent="0.2">
      <c r="B40" s="98" t="s">
        <v>119</v>
      </c>
      <c r="C40" s="246">
        <v>0.02</v>
      </c>
      <c r="E40" s="105" t="s">
        <v>64</v>
      </c>
      <c r="F40" s="128">
        <f>IFERROR('T12 Clean'!O38,0)</f>
        <v>0</v>
      </c>
      <c r="G40" s="107">
        <f t="shared" si="69"/>
        <v>0</v>
      </c>
      <c r="I40" s="128" t="e">
        <f>J40*Units</f>
        <v>#DIV/0!</v>
      </c>
      <c r="J40" s="163" t="e">
        <f>Y25/Units</f>
        <v>#DIV/0!</v>
      </c>
      <c r="L40" s="106" t="e">
        <f t="shared" si="70"/>
        <v>#DIV/0!</v>
      </c>
      <c r="M40" s="108" t="e">
        <f t="shared" si="60"/>
        <v>#DIV/0!</v>
      </c>
      <c r="O40" s="106" t="e">
        <f t="shared" si="71"/>
        <v>#DIV/0!</v>
      </c>
      <c r="P40" s="107" t="e">
        <f t="shared" si="72"/>
        <v>#DIV/0!</v>
      </c>
      <c r="R40" s="128">
        <f ca="1">+HLOOKUP(R3,V43:AE46,4,FALSE)</f>
        <v>2455832.7427906096</v>
      </c>
      <c r="S40" s="107" t="e">
        <f t="shared" ca="1" si="73"/>
        <v>#DIV/0!</v>
      </c>
      <c r="U40" s="127" t="s">
        <v>316</v>
      </c>
      <c r="V40" s="256">
        <v>0</v>
      </c>
      <c r="W40" s="180">
        <f>V40</f>
        <v>0</v>
      </c>
      <c r="X40" s="180">
        <f t="shared" ref="X40:AA40" si="79">W40</f>
        <v>0</v>
      </c>
      <c r="Y40" s="180">
        <f t="shared" si="79"/>
        <v>0</v>
      </c>
      <c r="Z40" s="180">
        <f t="shared" si="79"/>
        <v>0</v>
      </c>
      <c r="AA40" s="180">
        <f t="shared" si="79"/>
        <v>0</v>
      </c>
      <c r="AB40" s="180">
        <f t="shared" ref="AB40:AF40" si="80">AA40</f>
        <v>0</v>
      </c>
      <c r="AC40" s="180">
        <f t="shared" si="80"/>
        <v>0</v>
      </c>
      <c r="AD40" s="180">
        <f t="shared" si="80"/>
        <v>0</v>
      </c>
      <c r="AE40" s="180">
        <f t="shared" si="80"/>
        <v>0</v>
      </c>
      <c r="AF40" s="180">
        <f t="shared" si="80"/>
        <v>0</v>
      </c>
    </row>
    <row r="41" spans="2:32" ht="15" customHeight="1" x14ac:dyDescent="0.2">
      <c r="B41" s="133" t="s">
        <v>120</v>
      </c>
      <c r="C41" s="166">
        <v>0.02</v>
      </c>
      <c r="E41" s="105" t="s">
        <v>65</v>
      </c>
      <c r="F41" s="128">
        <f>IFERROR('T12 Clean'!O39,0)</f>
        <v>0</v>
      </c>
      <c r="G41" s="107">
        <f t="shared" si="69"/>
        <v>0</v>
      </c>
      <c r="I41" s="128">
        <f>J41*Units</f>
        <v>0</v>
      </c>
      <c r="J41" s="265">
        <f>G41*(1+$C$40)</f>
        <v>0</v>
      </c>
      <c r="L41" s="106">
        <f t="shared" si="70"/>
        <v>0</v>
      </c>
      <c r="M41" s="108" t="e">
        <f t="shared" si="60"/>
        <v>#DIV/0!</v>
      </c>
      <c r="O41" s="106">
        <f t="shared" si="71"/>
        <v>0</v>
      </c>
      <c r="P41" s="107" t="e">
        <f t="shared" si="72"/>
        <v>#DIV/0!</v>
      </c>
      <c r="R41" s="106">
        <f>O41*(1+$C$40)^($R$3-1)</f>
        <v>0</v>
      </c>
      <c r="S41" s="107" t="e">
        <f t="shared" si="73"/>
        <v>#DIV/0!</v>
      </c>
      <c r="U41" s="177" t="s">
        <v>317</v>
      </c>
      <c r="V41" s="178">
        <f t="shared" ref="V41:AB41" si="81">V39*(1-V40)</f>
        <v>1955462</v>
      </c>
      <c r="W41" s="178">
        <f t="shared" si="81"/>
        <v>1975016.62</v>
      </c>
      <c r="X41" s="178">
        <f t="shared" si="81"/>
        <v>2210740.318</v>
      </c>
      <c r="Y41" s="178">
        <f t="shared" si="81"/>
        <v>2276474.3746035998</v>
      </c>
      <c r="Z41" s="178">
        <f t="shared" si="81"/>
        <v>2344183.2967066285</v>
      </c>
      <c r="AA41" s="178">
        <f t="shared" si="81"/>
        <v>2413926.6222170694</v>
      </c>
      <c r="AB41" s="178">
        <f t="shared" si="81"/>
        <v>2485765.6860574237</v>
      </c>
      <c r="AC41" s="178">
        <f t="shared" ref="AC41:AF41" si="82">AC39*(1-AC40)</f>
        <v>2559763.6744242506</v>
      </c>
      <c r="AD41" s="178">
        <f t="shared" si="82"/>
        <v>2635985.6806862354</v>
      </c>
      <c r="AE41" s="178">
        <f t="shared" si="82"/>
        <v>2714498.7629702752</v>
      </c>
      <c r="AF41" s="178">
        <f t="shared" si="82"/>
        <v>2795372.0034865662</v>
      </c>
    </row>
    <row r="42" spans="2:32" ht="15" customHeight="1" x14ac:dyDescent="0.2">
      <c r="C42" s="168"/>
      <c r="E42" s="113" t="s">
        <v>83</v>
      </c>
      <c r="F42" s="114">
        <f>SUM(F37:F41)</f>
        <v>0</v>
      </c>
      <c r="G42" s="115">
        <f t="shared" ref="G42:G44" si="83">IFERROR(F42/Units,0)</f>
        <v>0</v>
      </c>
      <c r="I42" s="114" t="e">
        <f>SUM(I37:I41)</f>
        <v>#DIV/0!</v>
      </c>
      <c r="J42" s="115">
        <f t="shared" ref="J42:J44" si="84">IFERROR(I42/Units,0)</f>
        <v>0</v>
      </c>
      <c r="L42" s="114" t="e">
        <f>SUM(L37:L41)</f>
        <v>#DIV/0!</v>
      </c>
      <c r="M42" s="116" t="e">
        <f t="shared" si="60"/>
        <v>#DIV/0!</v>
      </c>
      <c r="O42" s="114" t="e">
        <f>SUM(O37:O41)</f>
        <v>#DIV/0!</v>
      </c>
      <c r="P42" s="115" t="e">
        <f t="shared" si="72"/>
        <v>#DIV/0!</v>
      </c>
      <c r="R42" s="114" t="e">
        <f>SUM(R37:R41)</f>
        <v>#DIV/0!</v>
      </c>
      <c r="S42" s="115" t="e">
        <f t="shared" si="73"/>
        <v>#DIV/0!</v>
      </c>
      <c r="V42" s="183"/>
      <c r="W42" s="220">
        <f>W41/V41-1</f>
        <v>1.0000000000000009E-2</v>
      </c>
      <c r="X42" s="220">
        <f t="shared" ref="X42:AB42" si="85">X41/W41-1</f>
        <v>0.11935276676304629</v>
      </c>
      <c r="Y42" s="220">
        <f t="shared" si="85"/>
        <v>2.9733956570289433E-2</v>
      </c>
      <c r="Z42" s="220">
        <f t="shared" si="85"/>
        <v>2.9742887887687752E-2</v>
      </c>
      <c r="AA42" s="220">
        <f t="shared" si="85"/>
        <v>2.9751651932860446E-2</v>
      </c>
      <c r="AB42" s="220">
        <f t="shared" si="85"/>
        <v>2.9760251690821304E-2</v>
      </c>
      <c r="AC42" s="220">
        <f t="shared" ref="AC42" si="86">AC41/AB41-1</f>
        <v>2.9768690098941786E-2</v>
      </c>
      <c r="AD42" s="220">
        <f t="shared" ref="AD42" si="87">AD41/AC41-1</f>
        <v>2.9776970047490359E-2</v>
      </c>
      <c r="AE42" s="220">
        <f t="shared" ref="AE42" si="88">AE41/AD41-1</f>
        <v>2.9785094380178956E-2</v>
      </c>
      <c r="AF42" s="220">
        <f t="shared" ref="AF42" si="89">AF41/AE41-1</f>
        <v>2.97930658947132E-2</v>
      </c>
    </row>
    <row r="43" spans="2:32" ht="15" customHeight="1" x14ac:dyDescent="0.2">
      <c r="B43" s="95" t="s">
        <v>344</v>
      </c>
      <c r="C43" s="174">
        <f>IF(SUM(C44,C49,C54)=C14,C14,"REVIEW")</f>
        <v>0</v>
      </c>
      <c r="E43" s="105" t="s">
        <v>66</v>
      </c>
      <c r="F43" s="106">
        <f>IFERROR('T12 Clean'!O41,0)</f>
        <v>0</v>
      </c>
      <c r="G43" s="107">
        <f t="shared" si="83"/>
        <v>0</v>
      </c>
      <c r="I43" s="106">
        <f>IFERROR('T12 Clean'!O41,0)</f>
        <v>0</v>
      </c>
      <c r="J43" s="265">
        <f>G43*(1+$C$40)</f>
        <v>0</v>
      </c>
      <c r="L43" s="106">
        <f>I43</f>
        <v>0</v>
      </c>
      <c r="M43" s="108" t="e">
        <f t="shared" si="60"/>
        <v>#DIV/0!</v>
      </c>
      <c r="O43" s="106">
        <f>L43</f>
        <v>0</v>
      </c>
      <c r="P43" s="107" t="e">
        <f t="shared" ref="P43:P44" si="90">O43/Units</f>
        <v>#DIV/0!</v>
      </c>
      <c r="R43" s="106">
        <f>O43*(1+$C$40)^($R$3-1)</f>
        <v>0</v>
      </c>
      <c r="S43" s="107" t="e">
        <f t="shared" ref="S43" si="91">R43/Units</f>
        <v>#DIV/0!</v>
      </c>
      <c r="U43" s="184" t="s">
        <v>319</v>
      </c>
      <c r="V43" s="184">
        <v>0</v>
      </c>
      <c r="W43" s="184">
        <f>V43+1</f>
        <v>1</v>
      </c>
      <c r="X43" s="184">
        <f t="shared" ref="X43:AB43" si="92">W43+1</f>
        <v>2</v>
      </c>
      <c r="Y43" s="184">
        <f t="shared" si="92"/>
        <v>3</v>
      </c>
      <c r="Z43" s="184">
        <f t="shared" si="92"/>
        <v>4</v>
      </c>
      <c r="AA43" s="184">
        <f t="shared" si="92"/>
        <v>5</v>
      </c>
      <c r="AB43" s="184">
        <f t="shared" si="92"/>
        <v>6</v>
      </c>
      <c r="AC43" s="184">
        <f t="shared" ref="AC43:AE43" si="93">AB43+1</f>
        <v>7</v>
      </c>
      <c r="AD43" s="184">
        <f t="shared" si="93"/>
        <v>8</v>
      </c>
      <c r="AE43" s="184">
        <f t="shared" si="93"/>
        <v>9</v>
      </c>
      <c r="AF43" s="184"/>
    </row>
    <row r="44" spans="2:32" ht="15" customHeight="1" x14ac:dyDescent="0.2">
      <c r="B44" s="247" t="s">
        <v>264</v>
      </c>
      <c r="C44" s="239">
        <f>C14</f>
        <v>0</v>
      </c>
      <c r="E44" s="148" t="s">
        <v>85</v>
      </c>
      <c r="F44" s="149">
        <f>SUM(F35,F42:F43)</f>
        <v>0</v>
      </c>
      <c r="G44" s="150">
        <f t="shared" si="83"/>
        <v>0</v>
      </c>
      <c r="I44" s="149" t="e">
        <f>SUM(I35,I42:I43)</f>
        <v>#DIV/0!</v>
      </c>
      <c r="J44" s="150">
        <f t="shared" si="84"/>
        <v>0</v>
      </c>
      <c r="L44" s="149" t="e">
        <f>SUM(L35,L42:L43)</f>
        <v>#DIV/0!</v>
      </c>
      <c r="M44" s="151" t="e">
        <f t="shared" si="60"/>
        <v>#DIV/0!</v>
      </c>
      <c r="O44" s="149" t="e">
        <f>SUM(O35,O42:O43)</f>
        <v>#DIV/0!</v>
      </c>
      <c r="P44" s="150" t="e">
        <f t="shared" si="90"/>
        <v>#DIV/0!</v>
      </c>
      <c r="R44" s="149" t="e">
        <f>SUM(R35,R42:R43)</f>
        <v>#DIV/0!</v>
      </c>
      <c r="S44" s="150" t="e">
        <f t="shared" si="73"/>
        <v>#DIV/0!</v>
      </c>
      <c r="U44" s="93" t="s">
        <v>320</v>
      </c>
      <c r="V44" s="146">
        <f ca="1">EOMONTH(V24,-12)</f>
        <v>45900</v>
      </c>
      <c r="W44" s="146">
        <f ca="1">EOMONTH(V44,12)</f>
        <v>46265</v>
      </c>
      <c r="X44" s="146">
        <f t="shared" ref="X44:AB44" ca="1" si="94">EOMONTH(W44,12)</f>
        <v>46630</v>
      </c>
      <c r="Y44" s="146">
        <f t="shared" ca="1" si="94"/>
        <v>46996</v>
      </c>
      <c r="Z44" s="146">
        <f t="shared" ca="1" si="94"/>
        <v>47361</v>
      </c>
      <c r="AA44" s="146">
        <f t="shared" ca="1" si="94"/>
        <v>47726</v>
      </c>
      <c r="AB44" s="146">
        <f t="shared" ca="1" si="94"/>
        <v>48091</v>
      </c>
      <c r="AC44" s="146">
        <f t="shared" ref="AC44:AE44" ca="1" si="95">EOMONTH(AB44,12)</f>
        <v>48457</v>
      </c>
      <c r="AD44" s="146">
        <f t="shared" ca="1" si="95"/>
        <v>48822</v>
      </c>
      <c r="AE44" s="146">
        <f t="shared" ca="1" si="95"/>
        <v>49187</v>
      </c>
      <c r="AF44" s="146"/>
    </row>
    <row r="45" spans="2:32" ht="15" customHeight="1" x14ac:dyDescent="0.2">
      <c r="B45" s="176" t="s">
        <v>265</v>
      </c>
      <c r="C45" s="248">
        <v>75</v>
      </c>
      <c r="E45" s="185"/>
      <c r="F45" s="106"/>
      <c r="G45" s="107"/>
      <c r="I45" s="106"/>
      <c r="J45" s="107"/>
      <c r="L45" s="106"/>
      <c r="M45" s="108"/>
      <c r="O45" s="106"/>
      <c r="P45" s="107"/>
      <c r="R45" s="106"/>
      <c r="S45" s="107"/>
      <c r="U45" s="93" t="s">
        <v>331</v>
      </c>
      <c r="V45" s="146">
        <f ca="1">EOMONTH(V25,-12)</f>
        <v>46234</v>
      </c>
      <c r="W45" s="186">
        <f ca="1">EOMONTH(V45,12)</f>
        <v>46599</v>
      </c>
      <c r="X45" s="186">
        <f t="shared" ref="X45:AB45" ca="1" si="96">EOMONTH(W45,12)</f>
        <v>46965</v>
      </c>
      <c r="Y45" s="186">
        <f t="shared" ca="1" si="96"/>
        <v>47330</v>
      </c>
      <c r="Z45" s="186">
        <f t="shared" ca="1" si="96"/>
        <v>47695</v>
      </c>
      <c r="AA45" s="186">
        <f t="shared" ca="1" si="96"/>
        <v>48060</v>
      </c>
      <c r="AB45" s="186">
        <f t="shared" ca="1" si="96"/>
        <v>48426</v>
      </c>
      <c r="AC45" s="186">
        <f t="shared" ref="AC45:AE45" ca="1" si="97">EOMONTH(AB45,12)</f>
        <v>48791</v>
      </c>
      <c r="AD45" s="186">
        <f t="shared" ca="1" si="97"/>
        <v>49156</v>
      </c>
      <c r="AE45" s="186">
        <f t="shared" ca="1" si="97"/>
        <v>49521</v>
      </c>
      <c r="AF45" s="146"/>
    </row>
    <row r="46" spans="2:32" ht="15" customHeight="1" x14ac:dyDescent="0.2">
      <c r="B46" s="179" t="s">
        <v>266</v>
      </c>
      <c r="C46" s="249">
        <v>0</v>
      </c>
      <c r="E46" s="187" t="s">
        <v>351</v>
      </c>
      <c r="F46" s="188">
        <f>F26-F44</f>
        <v>0</v>
      </c>
      <c r="G46" s="189">
        <f>IFERROR(F46/Units,0)</f>
        <v>0</v>
      </c>
      <c r="I46" s="188" t="e">
        <f>I26-I44</f>
        <v>#DIV/0!</v>
      </c>
      <c r="J46" s="189">
        <f>IFERROR(I46/Units,0)</f>
        <v>0</v>
      </c>
      <c r="L46" s="188" t="e">
        <f>L26-L44</f>
        <v>#DIV/0!</v>
      </c>
      <c r="M46" s="190" t="e">
        <f>L46/Units</f>
        <v>#DIV/0!</v>
      </c>
      <c r="O46" s="188" t="e">
        <f>O26-O44</f>
        <v>#DIV/0!</v>
      </c>
      <c r="P46" s="189" t="e">
        <f t="shared" ref="P46" si="98">O46/Units</f>
        <v>#DIV/0!</v>
      </c>
      <c r="R46" s="188" t="e">
        <f>R26-R44</f>
        <v>#DIV/0!</v>
      </c>
      <c r="S46" s="189" t="e">
        <f t="shared" si="73"/>
        <v>#DIV/0!</v>
      </c>
      <c r="U46" s="177" t="s">
        <v>321</v>
      </c>
      <c r="V46" s="178">
        <f ca="1">IF(YEAR(V45)=YEAR(V44),V41,(((12-MONTH(V45))*V41)+(MONTH(V45)*W41))/12)</f>
        <v>1966868.8616666666</v>
      </c>
      <c r="W46" s="178">
        <f t="shared" ref="W46:AB46" ca="1" si="99">IF(YEAR(W45)=YEAR(W44),W41,(((12-MONTH(W45))*W41)+(MONTH(W45)*X41))/12)</f>
        <v>2112522.1105</v>
      </c>
      <c r="X46" s="178">
        <f t="shared" ca="1" si="99"/>
        <v>2249085.1843520999</v>
      </c>
      <c r="Y46" s="178">
        <f t="shared" ca="1" si="99"/>
        <v>2315971.2458303664</v>
      </c>
      <c r="Z46" s="178">
        <f t="shared" ca="1" si="99"/>
        <v>2384866.9032543856</v>
      </c>
      <c r="AA46" s="178">
        <f t="shared" ca="1" si="99"/>
        <v>2455832.7427906096</v>
      </c>
      <c r="AB46" s="178">
        <f t="shared" ca="1" si="99"/>
        <v>2528931.179271406</v>
      </c>
      <c r="AC46" s="178">
        <f t="shared" ref="AC46" ca="1" si="100">IF(YEAR(AC45)=YEAR(AC44),AC41,(((12-MONTH(AC45))*AC41)+(MONTH(AC45)*AD41))/12)</f>
        <v>2604226.5114104082</v>
      </c>
      <c r="AD46" s="178">
        <f t="shared" ref="AD46" ca="1" si="101">IF(YEAR(AD45)=YEAR(AD44),AD41,(((12-MONTH(AD45))*AD41)+(MONTH(AD45)*AE41))/12)</f>
        <v>2681784.9786852584</v>
      </c>
      <c r="AE46" s="178">
        <f t="shared" ref="AE46" ca="1" si="102">IF(YEAR(AE45)=YEAR(AE44),AE41,(((12-MONTH(AE45))*AE41)+(MONTH(AE45)*AF41))/12)</f>
        <v>2761674.8199381116</v>
      </c>
      <c r="AF46" s="173"/>
    </row>
    <row r="47" spans="2:32" ht="15" customHeight="1" x14ac:dyDescent="0.2">
      <c r="B47" s="145" t="s">
        <v>267</v>
      </c>
      <c r="C47" s="181">
        <f>C44*C45*C46*12</f>
        <v>0</v>
      </c>
      <c r="E47" s="105" t="s">
        <v>67</v>
      </c>
      <c r="F47" s="106">
        <f>IFERROR('T12 Clean'!O45,0)</f>
        <v>0</v>
      </c>
      <c r="G47" s="107">
        <f t="shared" ref="G47" si="103">IFERROR(F47/Units,0)</f>
        <v>0</v>
      </c>
      <c r="I47" s="106">
        <f>J47*Units</f>
        <v>0</v>
      </c>
      <c r="J47" s="265">
        <v>300</v>
      </c>
      <c r="L47" s="106">
        <f>I47</f>
        <v>0</v>
      </c>
      <c r="M47" s="108" t="e">
        <f>L47/Units</f>
        <v>#DIV/0!</v>
      </c>
      <c r="O47" s="106" t="e">
        <f>P47*Units</f>
        <v>#DIV/0!</v>
      </c>
      <c r="P47" s="107" t="e">
        <f>M47+50</f>
        <v>#DIV/0!</v>
      </c>
      <c r="R47" s="106" t="e">
        <f>S47*Units</f>
        <v>#DIV/0!</v>
      </c>
      <c r="S47" s="107" t="e">
        <f>P47+50</f>
        <v>#DIV/0!</v>
      </c>
      <c r="W47" s="220">
        <f ca="1">W46/V46-1</f>
        <v>7.4053360481751263E-2</v>
      </c>
      <c r="X47" s="220">
        <f t="shared" ref="X47" ca="1" si="104">X46/W46-1</f>
        <v>6.4644565457247616E-2</v>
      </c>
      <c r="Y47" s="220">
        <f t="shared" ref="Y47" ca="1" si="105">Y46/X46-1</f>
        <v>2.9739229951636803E-2</v>
      </c>
      <c r="Z47" s="220">
        <f t="shared" ref="Z47" ca="1" si="106">Z46/Y46-1</f>
        <v>2.9748062523685448E-2</v>
      </c>
      <c r="AA47" s="220">
        <f t="shared" ref="AA47" ca="1" si="107">AA46/Z46-1</f>
        <v>2.975672958494413E-2</v>
      </c>
      <c r="AB47" s="220">
        <f t="shared" ref="AB47" ca="1" si="108">AB46/AA46-1</f>
        <v>2.976523409234022E-2</v>
      </c>
      <c r="AC47" s="220">
        <f t="shared" ref="AC47" ca="1" si="109">AC46/AB46-1</f>
        <v>2.9773578955476054E-2</v>
      </c>
      <c r="AD47" s="220">
        <f t="shared" ref="AD47" ca="1" si="110">AD46/AC46-1</f>
        <v>2.9781767037171392E-2</v>
      </c>
      <c r="AE47" s="220">
        <f t="shared" ref="AE47" ca="1" si="111">AE46/AD46-1</f>
        <v>2.9789801154013196E-2</v>
      </c>
      <c r="AF47" s="191"/>
    </row>
    <row r="48" spans="2:32" ht="15" customHeight="1" x14ac:dyDescent="0.2">
      <c r="B48" s="98"/>
      <c r="C48" s="182"/>
      <c r="E48" s="192" t="s">
        <v>352</v>
      </c>
      <c r="F48" s="193">
        <f>F46-F47</f>
        <v>0</v>
      </c>
      <c r="G48" s="194">
        <f>IFERROR(F48/Units,0)</f>
        <v>0</v>
      </c>
      <c r="I48" s="193" t="e">
        <f>I46-I47</f>
        <v>#DIV/0!</v>
      </c>
      <c r="J48" s="194">
        <f>IFERROR(I48/Units,0)</f>
        <v>0</v>
      </c>
      <c r="L48" s="193" t="e">
        <f>L46-L47</f>
        <v>#DIV/0!</v>
      </c>
      <c r="M48" s="195" t="e">
        <f>L48/Units</f>
        <v>#DIV/0!</v>
      </c>
      <c r="O48" s="193" t="e">
        <f>O46-O47</f>
        <v>#DIV/0!</v>
      </c>
      <c r="P48" s="194" t="e">
        <f t="shared" ref="P48" si="112">O48/Units</f>
        <v>#DIV/0!</v>
      </c>
      <c r="R48" s="193" t="e">
        <f>R46-R47</f>
        <v>#DIV/0!</v>
      </c>
      <c r="S48" s="194" t="e">
        <f t="shared" si="73"/>
        <v>#DIV/0!</v>
      </c>
      <c r="Z48" s="196"/>
      <c r="AA48" s="196"/>
      <c r="AB48" s="146"/>
    </row>
    <row r="49" spans="2:28" ht="15" customHeight="1" x14ac:dyDescent="0.2">
      <c r="B49" s="271" t="s">
        <v>264</v>
      </c>
      <c r="C49" s="272">
        <v>0</v>
      </c>
      <c r="R49" s="226"/>
      <c r="U49" s="95" t="s">
        <v>298</v>
      </c>
      <c r="V49" s="96" t="s">
        <v>291</v>
      </c>
      <c r="W49" s="96" t="s">
        <v>292</v>
      </c>
      <c r="X49" s="96" t="s">
        <v>293</v>
      </c>
      <c r="Y49" s="97" t="s">
        <v>294</v>
      </c>
      <c r="Z49" s="196"/>
      <c r="AA49" s="196"/>
      <c r="AB49" s="146"/>
    </row>
    <row r="50" spans="2:28" ht="15" customHeight="1" x14ac:dyDescent="0.2">
      <c r="B50" s="98" t="s">
        <v>265</v>
      </c>
      <c r="C50" s="273">
        <v>0</v>
      </c>
      <c r="I50" s="197"/>
      <c r="J50" s="197"/>
      <c r="U50" s="98" t="s">
        <v>290</v>
      </c>
      <c r="V50" s="260">
        <f>Units</f>
        <v>0</v>
      </c>
      <c r="W50" s="222">
        <v>0</v>
      </c>
      <c r="X50" s="222">
        <v>0</v>
      </c>
      <c r="Y50" s="198">
        <f>MIN(SUM(V50:X50),Units)</f>
        <v>0</v>
      </c>
      <c r="Z50" s="173"/>
      <c r="AA50" s="173"/>
      <c r="AB50" s="173"/>
    </row>
    <row r="51" spans="2:28" ht="15" customHeight="1" x14ac:dyDescent="0.2">
      <c r="B51" s="274" t="s">
        <v>266</v>
      </c>
      <c r="C51" s="225">
        <v>0</v>
      </c>
      <c r="I51" s="199"/>
      <c r="J51" s="199"/>
      <c r="U51" s="98" t="s">
        <v>295</v>
      </c>
      <c r="V51" s="261">
        <v>0</v>
      </c>
      <c r="W51" s="223">
        <v>0</v>
      </c>
      <c r="X51" s="223">
        <v>0</v>
      </c>
      <c r="Y51" s="200" t="e">
        <f>SUMPRODUCT(V50:X50,V51:X51)/Y50</f>
        <v>#DIV/0!</v>
      </c>
    </row>
    <row r="52" spans="2:28" ht="15" customHeight="1" x14ac:dyDescent="0.2">
      <c r="B52" s="217" t="s">
        <v>267</v>
      </c>
      <c r="C52" s="275">
        <f>C49*C50*C51*12</f>
        <v>0</v>
      </c>
      <c r="U52" s="133" t="s">
        <v>329</v>
      </c>
      <c r="V52" s="262">
        <v>0</v>
      </c>
      <c r="W52" s="224">
        <v>0</v>
      </c>
      <c r="X52" s="224">
        <v>0</v>
      </c>
      <c r="Y52" s="201" t="e">
        <f>SUMPRODUCT(V50:X50,V52:X52)/Y50</f>
        <v>#DIV/0!</v>
      </c>
    </row>
    <row r="53" spans="2:28" ht="15" customHeight="1" x14ac:dyDescent="0.2">
      <c r="B53" s="276"/>
      <c r="C53" s="277"/>
      <c r="U53" s="204" t="s">
        <v>330</v>
      </c>
      <c r="V53" s="205">
        <f>IFERROR(V51*12/V52,0)</f>
        <v>0</v>
      </c>
      <c r="W53" s="205">
        <f>IFERROR(W51*12/W52,0)</f>
        <v>0</v>
      </c>
      <c r="X53" s="206">
        <f>IFERROR(X51*12/X52,0)</f>
        <v>0</v>
      </c>
      <c r="Y53" s="207">
        <f>IFERROR(Y51*12/Y52,0)</f>
        <v>0</v>
      </c>
    </row>
    <row r="54" spans="2:28" ht="15" customHeight="1" x14ac:dyDescent="0.2">
      <c r="B54" s="271" t="s">
        <v>264</v>
      </c>
      <c r="C54" s="272">
        <v>0</v>
      </c>
      <c r="Y54" s="210"/>
    </row>
    <row r="55" spans="2:28" ht="15" customHeight="1" x14ac:dyDescent="0.2">
      <c r="B55" s="98" t="s">
        <v>265</v>
      </c>
      <c r="C55" s="273">
        <v>0</v>
      </c>
      <c r="U55" s="294" t="s">
        <v>332</v>
      </c>
      <c r="V55" s="296"/>
      <c r="W55" s="295"/>
      <c r="X55" s="93" t="s">
        <v>330</v>
      </c>
    </row>
    <row r="56" spans="2:28" ht="15" customHeight="1" x14ac:dyDescent="0.2">
      <c r="B56" s="274" t="s">
        <v>266</v>
      </c>
      <c r="C56" s="225">
        <v>0</v>
      </c>
      <c r="U56" s="98" t="s">
        <v>343</v>
      </c>
      <c r="W56" s="211" t="e">
        <f>Y50*Y52</f>
        <v>#DIV/0!</v>
      </c>
      <c r="X56" s="282">
        <f>IFERROR(($Y$51*$Y$50*12)/(W56*(1+$V$59)),0)</f>
        <v>0</v>
      </c>
    </row>
    <row r="57" spans="2:28" ht="15" customHeight="1" x14ac:dyDescent="0.2">
      <c r="B57" s="145" t="s">
        <v>267</v>
      </c>
      <c r="C57" s="181">
        <f>C54*C55*C56*12</f>
        <v>0</v>
      </c>
      <c r="U57" s="98" t="s">
        <v>333</v>
      </c>
      <c r="W57" s="263">
        <v>1500000</v>
      </c>
      <c r="X57" s="282">
        <f>IFERROR(($Y$51*$Y$50*12)/(SUM(W56:W57)*(1+$V$59)),0)</f>
        <v>0</v>
      </c>
    </row>
    <row r="58" spans="2:28" ht="15" customHeight="1" x14ac:dyDescent="0.2">
      <c r="B58" s="98"/>
      <c r="C58" s="182"/>
      <c r="U58" s="112" t="s">
        <v>353</v>
      </c>
      <c r="V58" s="212"/>
      <c r="W58" s="264">
        <v>500000</v>
      </c>
      <c r="X58" s="282"/>
    </row>
    <row r="59" spans="2:28" ht="15" customHeight="1" x14ac:dyDescent="0.2">
      <c r="B59" s="202" t="s">
        <v>269</v>
      </c>
      <c r="C59" s="203">
        <f>IF(C47=0,F18*(1+$C$38),SUM(C47,C52,C57))</f>
        <v>0</v>
      </c>
      <c r="U59" s="133" t="s">
        <v>334</v>
      </c>
      <c r="V59" s="213">
        <v>0.05</v>
      </c>
      <c r="W59" s="214" t="e">
        <f>V59*SUM(W56,W57)</f>
        <v>#DIV/0!</v>
      </c>
    </row>
    <row r="60" spans="2:28" ht="15" customHeight="1" x14ac:dyDescent="0.2">
      <c r="B60" s="208" t="s">
        <v>270</v>
      </c>
      <c r="C60" s="209" t="e">
        <f>C59/F18-1</f>
        <v>#DIV/0!</v>
      </c>
      <c r="U60" s="215" t="s">
        <v>335</v>
      </c>
      <c r="V60" s="155"/>
      <c r="W60" s="216" t="e">
        <f>SUM(W56:W59)</f>
        <v>#DIV/0!</v>
      </c>
      <c r="X60" s="282">
        <f>IFERROR(($Y$51*$Y$50*12)/W60,0)</f>
        <v>0</v>
      </c>
    </row>
  </sheetData>
  <mergeCells count="7">
    <mergeCell ref="B34:C34"/>
    <mergeCell ref="B20:C20"/>
    <mergeCell ref="U55:W55"/>
    <mergeCell ref="B2:S2"/>
    <mergeCell ref="R3:S3"/>
    <mergeCell ref="U21:AF21"/>
    <mergeCell ref="B4:C4"/>
  </mergeCells>
  <conditionalFormatting sqref="C42">
    <cfRule type="containsText" dxfId="5" priority="1" operator="containsText" text="check">
      <formula>NOT(ISERROR(SEARCH("check",C42)))</formula>
    </cfRule>
    <cfRule type="containsText" dxfId="4" priority="2" operator="containsText" text="REVIEW">
      <formula>NOT(ISERROR(SEARCH("REVIEW",C42)))</formula>
    </cfRule>
  </conditionalFormatting>
  <conditionalFormatting sqref="I51:J51">
    <cfRule type="containsText" dxfId="3" priority="3" operator="containsText" text="MATCH">
      <formula>NOT(ISERROR(SEARCH("MATCH",I51)))</formula>
    </cfRule>
    <cfRule type="containsText" dxfId="2" priority="4" operator="containsText" text="REVIEW">
      <formula>NOT(ISERROR(SEARCH("REVIEW",I51)))</formula>
    </cfRule>
  </conditionalFormatting>
  <dataValidations count="2">
    <dataValidation type="list" allowBlank="1" showInputMessage="1" showErrorMessage="1" sqref="V23" xr:uid="{D7841B01-C62C-4E9E-95B5-4005E91AE1E8}">
      <formula1>"On Sale,Countywide"</formula1>
    </dataValidation>
    <dataValidation type="list" allowBlank="1" showInputMessage="1" showErrorMessage="1" sqref="R3:S3" xr:uid="{5D20EA6F-A4B8-4CB1-BE4B-56FD2E1B790C}">
      <formula1>"5,6,7,8,9"</formula1>
    </dataValidation>
  </dataValidations>
  <pageMargins left="0" right="0" top="0.25" bottom="0.25" header="0" footer="0"/>
  <pageSetup scale="53" orientation="landscape" r:id="rId1"/>
  <ignoredErrors>
    <ignoredError sqref="I10 I24 I42 L42 L10 L24 O42 J9 J13 I38 G9 G38 M9 L38:M38 O38:P38 G23 J23 M23 J43 X29:AB29 X31:AB31 W32 X33:AB33 X32:AB32 AC29:AF29 AC31:AF31 AC33:AF33 AC32:AF32 S23 R38:S38 R42 P47 S47 P9" formula="1"/>
    <ignoredError sqref="W56 W59:W60 Y51:Y52" evalError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B4BEB44-066E-4124-ADE0-883AB45CC8E5}">
          <x14:formula1>
            <xm:f>'T12 Clean'!$O$4:$R$4</xm:f>
          </x14:formula1>
          <xm:sqref>F4</xm:sqref>
        </x14:dataValidation>
        <x14:dataValidation type="list" allowBlank="1" showInputMessage="1" showErrorMessage="1" xr:uid="{691EFD43-A88F-4859-8181-B2277EE27C6C}">
          <x14:formula1>
            <xm:f>'Validation Lists | Graph Values'!$A$2:$A$52</xm:f>
          </x14:formula1>
          <xm:sqref>C8</xm:sqref>
        </x14:dataValidation>
        <x14:dataValidation type="list" allowBlank="1" showInputMessage="1" showErrorMessage="1" xr:uid="{2AD3E473-928C-4A98-A41E-E727BBE23913}">
          <x14:formula1>
            <xm:f>'Validation Lists | Graph Values'!$C$2:$C$22</xm:f>
          </x14:formula1>
          <xm:sqref>C15</xm:sqref>
        </x14:dataValidation>
        <x14:dataValidation type="list" allowBlank="1" showInputMessage="1" showErrorMessage="1" xr:uid="{053F2765-92AA-4766-9732-3135076260A0}">
          <x14:formula1>
            <xm:f>'Validation Lists | Graph Values'!$D$2:$D$17</xm:f>
          </x14:formula1>
          <xm:sqref>C17</xm:sqref>
        </x14:dataValidation>
        <x14:dataValidation type="list" allowBlank="1" showInputMessage="1" showErrorMessage="1" xr:uid="{1967DC4E-F289-4C00-8D23-1B37A9CF4ADC}">
          <x14:formula1>
            <xm:f>'Validation Lists | Graph Values'!$B$2:$B$54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13220-B22E-4E66-BC78-A5F56C1CA4A7}">
  <sheetPr>
    <pageSetUpPr fitToPage="1"/>
  </sheetPr>
  <dimension ref="B1:R60"/>
  <sheetViews>
    <sheetView showGridLines="0" zoomScaleNormal="100" workbookViewId="0"/>
  </sheetViews>
  <sheetFormatPr baseColWidth="10" defaultColWidth="9.1640625" defaultRowHeight="12" x14ac:dyDescent="0.15"/>
  <cols>
    <col min="1" max="1" width="2.6640625" style="3" customWidth="1"/>
    <col min="2" max="2" width="34" style="3" bestFit="1" customWidth="1"/>
    <col min="3" max="18" width="9.6640625" style="3" customWidth="1"/>
    <col min="19" max="16384" width="9.1640625" style="3"/>
  </cols>
  <sheetData>
    <row r="1" spans="2:18" ht="15.75" customHeight="1" x14ac:dyDescent="0.15">
      <c r="B1" s="88" t="s">
        <v>296</v>
      </c>
      <c r="C1" s="92"/>
      <c r="D1" s="89" t="e">
        <f>(D8+D10)/(C8+C10)-1</f>
        <v>#DIV/0!</v>
      </c>
      <c r="E1" s="89" t="e">
        <f t="shared" ref="E1:N1" si="0">(E8+E10)/(D8+D10)-1</f>
        <v>#DIV/0!</v>
      </c>
      <c r="F1" s="89" t="e">
        <f t="shared" si="0"/>
        <v>#DIV/0!</v>
      </c>
      <c r="G1" s="89" t="e">
        <f t="shared" si="0"/>
        <v>#DIV/0!</v>
      </c>
      <c r="H1" s="89" t="e">
        <f t="shared" si="0"/>
        <v>#DIV/0!</v>
      </c>
      <c r="I1" s="89" t="e">
        <f t="shared" si="0"/>
        <v>#DIV/0!</v>
      </c>
      <c r="J1" s="89" t="e">
        <f t="shared" si="0"/>
        <v>#DIV/0!</v>
      </c>
      <c r="K1" s="89" t="e">
        <f t="shared" si="0"/>
        <v>#DIV/0!</v>
      </c>
      <c r="L1" s="89" t="e">
        <f t="shared" si="0"/>
        <v>#DIV/0!</v>
      </c>
      <c r="M1" s="89" t="e">
        <f t="shared" si="0"/>
        <v>#DIV/0!</v>
      </c>
      <c r="N1" s="89" t="e">
        <f t="shared" si="0"/>
        <v>#DIV/0!</v>
      </c>
      <c r="O1" s="90" t="e">
        <f>((N8+N10)/(C8+C10))^(11/12)-1</f>
        <v>#DIV/0!</v>
      </c>
    </row>
    <row r="2" spans="2:18" ht="15" customHeight="1" x14ac:dyDescent="0.15">
      <c r="B2" s="88" t="s">
        <v>297</v>
      </c>
      <c r="C2" s="91" t="e">
        <f>C9/C5</f>
        <v>#DIV/0!</v>
      </c>
      <c r="D2" s="89" t="e">
        <f t="shared" ref="D2:O2" si="1">D9/D5</f>
        <v>#DIV/0!</v>
      </c>
      <c r="E2" s="89" t="e">
        <f t="shared" si="1"/>
        <v>#DIV/0!</v>
      </c>
      <c r="F2" s="89" t="e">
        <f t="shared" si="1"/>
        <v>#DIV/0!</v>
      </c>
      <c r="G2" s="89" t="e">
        <f t="shared" si="1"/>
        <v>#DIV/0!</v>
      </c>
      <c r="H2" s="89" t="e">
        <f t="shared" si="1"/>
        <v>#DIV/0!</v>
      </c>
      <c r="I2" s="89" t="e">
        <f t="shared" si="1"/>
        <v>#DIV/0!</v>
      </c>
      <c r="J2" s="89" t="e">
        <f t="shared" si="1"/>
        <v>#DIV/0!</v>
      </c>
      <c r="K2" s="89" t="e">
        <f t="shared" si="1"/>
        <v>#DIV/0!</v>
      </c>
      <c r="L2" s="89" t="e">
        <f t="shared" si="1"/>
        <v>#DIV/0!</v>
      </c>
      <c r="M2" s="89" t="e">
        <f t="shared" si="1"/>
        <v>#DIV/0!</v>
      </c>
      <c r="N2" s="89" t="e">
        <f t="shared" si="1"/>
        <v>#DIV/0!</v>
      </c>
      <c r="O2" s="90" t="e">
        <f t="shared" si="1"/>
        <v>#DIV/0!</v>
      </c>
    </row>
    <row r="3" spans="2:18" ht="15" customHeight="1" thickBot="1" x14ac:dyDescent="0.2">
      <c r="B3" s="299" t="str">
        <f>CONCATENATE('QuickVal Proforma'!C5," | ","T12")</f>
        <v xml:space="preserve"> | T12</v>
      </c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</row>
    <row r="4" spans="2:18" ht="15" customHeight="1" x14ac:dyDescent="0.15">
      <c r="B4" s="51" t="s">
        <v>76</v>
      </c>
      <c r="C4" s="71">
        <f>'T12 Intake'!D3</f>
        <v>45535</v>
      </c>
      <c r="D4" s="71">
        <f>'T12 Intake'!E3</f>
        <v>45565</v>
      </c>
      <c r="E4" s="71">
        <f>'T12 Intake'!F3</f>
        <v>45596</v>
      </c>
      <c r="F4" s="71">
        <f>'T12 Intake'!G3</f>
        <v>45626</v>
      </c>
      <c r="G4" s="71">
        <f>'T12 Intake'!H3</f>
        <v>45657</v>
      </c>
      <c r="H4" s="71">
        <f>'T12 Intake'!I3</f>
        <v>45688</v>
      </c>
      <c r="I4" s="71">
        <f>'T12 Intake'!J3</f>
        <v>45716</v>
      </c>
      <c r="J4" s="71">
        <f>'T12 Intake'!K3</f>
        <v>45747</v>
      </c>
      <c r="K4" s="71">
        <f>'T12 Intake'!L3</f>
        <v>45777</v>
      </c>
      <c r="L4" s="71">
        <f>'T12 Intake'!M3</f>
        <v>45808</v>
      </c>
      <c r="M4" s="71">
        <f>'T12 Intake'!N3</f>
        <v>45838</v>
      </c>
      <c r="N4" s="71">
        <f>'T12 Intake'!O3</f>
        <v>45869</v>
      </c>
      <c r="O4" s="52" t="s">
        <v>93</v>
      </c>
      <c r="P4" s="52" t="s">
        <v>94</v>
      </c>
      <c r="Q4" s="52" t="s">
        <v>95</v>
      </c>
      <c r="R4" s="52" t="s">
        <v>96</v>
      </c>
    </row>
    <row r="5" spans="2:18" ht="15" customHeight="1" x14ac:dyDescent="0.15">
      <c r="B5" s="53" t="s">
        <v>42</v>
      </c>
      <c r="C5" s="72">
        <f>SUMIF('T12 Intake'!$Q$4:$Q$1000,$B5,'T12 Intake'!D$4:D$1000)</f>
        <v>0</v>
      </c>
      <c r="D5" s="72">
        <f>SUMIF('T12 Intake'!$Q$4:$Q$1000,$B5,'T12 Intake'!E$4:E$1000)</f>
        <v>0</v>
      </c>
      <c r="E5" s="72">
        <f>SUMIF('T12 Intake'!$Q$4:$Q$1000,$B5,'T12 Intake'!F$4:F$1000)</f>
        <v>0</v>
      </c>
      <c r="F5" s="72">
        <f>SUMIF('T12 Intake'!$Q$4:$Q$1000,$B5,'T12 Intake'!G$4:G$1000)</f>
        <v>0</v>
      </c>
      <c r="G5" s="72">
        <f>SUMIF('T12 Intake'!$Q$4:$Q$1000,$B5,'T12 Intake'!H$4:H$1000)</f>
        <v>0</v>
      </c>
      <c r="H5" s="72">
        <f>SUMIF('T12 Intake'!$Q$4:$Q$1000,$B5,'T12 Intake'!I$4:I$1000)</f>
        <v>0</v>
      </c>
      <c r="I5" s="72">
        <f>SUMIF('T12 Intake'!$Q$4:$Q$1000,$B5,'T12 Intake'!J$4:J$1000)</f>
        <v>0</v>
      </c>
      <c r="J5" s="72">
        <f>SUMIF('T12 Intake'!$Q$4:$Q$1000,$B5,'T12 Intake'!K$4:K$1000)</f>
        <v>0</v>
      </c>
      <c r="K5" s="72">
        <f>SUMIF('T12 Intake'!$Q$4:$Q$1000,$B5,'T12 Intake'!L$4:L$1000)</f>
        <v>0</v>
      </c>
      <c r="L5" s="72">
        <f>SUMIF('T12 Intake'!$Q$4:$Q$1000,$B5,'T12 Intake'!M$4:M$1000)</f>
        <v>0</v>
      </c>
      <c r="M5" s="72">
        <f>SUMIF('T12 Intake'!$Q$4:$Q$1000,$B5,'T12 Intake'!N$4:N$1000)</f>
        <v>0</v>
      </c>
      <c r="N5" s="72">
        <f>SUMIF('T12 Intake'!$Q$4:$Q$1000,$B5,'T12 Intake'!O$4:O$1000)</f>
        <v>0</v>
      </c>
      <c r="O5" s="73">
        <f>SUMIF('T12 Intake'!$Q$4:$Q$1000,$B5,'T12 Intake'!P$4:P$1000)</f>
        <v>0</v>
      </c>
      <c r="P5" s="73">
        <f>SUM(I5:N5)*2</f>
        <v>0</v>
      </c>
      <c r="Q5" s="73">
        <f>SUM(L5:N5)*4</f>
        <v>0</v>
      </c>
      <c r="R5" s="73">
        <f>N5*12</f>
        <v>0</v>
      </c>
    </row>
    <row r="6" spans="2:18" ht="15" customHeight="1" x14ac:dyDescent="0.15">
      <c r="B6" s="53" t="s">
        <v>43</v>
      </c>
      <c r="C6" s="72">
        <f>SUMIF('T12 Intake'!$Q$4:$Q$1000,$B6,'T12 Intake'!D$4:D$1000)</f>
        <v>0</v>
      </c>
      <c r="D6" s="72">
        <f>SUMIF('T12 Intake'!$Q$4:$Q$1000,$B6,'T12 Intake'!E$4:E$1000)</f>
        <v>0</v>
      </c>
      <c r="E6" s="72">
        <f>SUMIF('T12 Intake'!$Q$4:$Q$1000,$B6,'T12 Intake'!F$4:F$1000)</f>
        <v>0</v>
      </c>
      <c r="F6" s="72">
        <f>SUMIF('T12 Intake'!$Q$4:$Q$1000,$B6,'T12 Intake'!G$4:G$1000)</f>
        <v>0</v>
      </c>
      <c r="G6" s="72">
        <f>SUMIF('T12 Intake'!$Q$4:$Q$1000,$B6,'T12 Intake'!H$4:H$1000)</f>
        <v>0</v>
      </c>
      <c r="H6" s="72">
        <f>SUMIF('T12 Intake'!$Q$4:$Q$1000,$B6,'T12 Intake'!I$4:I$1000)</f>
        <v>0</v>
      </c>
      <c r="I6" s="72">
        <f>SUMIF('T12 Intake'!$Q$4:$Q$1000,$B6,'T12 Intake'!J$4:J$1000)</f>
        <v>0</v>
      </c>
      <c r="J6" s="72">
        <f>SUMIF('T12 Intake'!$Q$4:$Q$1000,$B6,'T12 Intake'!K$4:K$1000)</f>
        <v>0</v>
      </c>
      <c r="K6" s="72">
        <f>SUMIF('T12 Intake'!$Q$4:$Q$1000,$B6,'T12 Intake'!L$4:L$1000)</f>
        <v>0</v>
      </c>
      <c r="L6" s="72">
        <f>SUMIF('T12 Intake'!$Q$4:$Q$1000,$B6,'T12 Intake'!M$4:M$1000)</f>
        <v>0</v>
      </c>
      <c r="M6" s="72">
        <f>SUMIF('T12 Intake'!$Q$4:$Q$1000,$B6,'T12 Intake'!N$4:N$1000)</f>
        <v>0</v>
      </c>
      <c r="N6" s="72">
        <f>SUMIF('T12 Intake'!$Q$4:$Q$1000,$B6,'T12 Intake'!O$4:O$1000)</f>
        <v>0</v>
      </c>
      <c r="O6" s="73">
        <f>SUMIF('T12 Intake'!$Q$4:$Q$1000,$B6,'T12 Intake'!P$4:P$1000)</f>
        <v>0</v>
      </c>
      <c r="P6" s="73">
        <f t="shared" ref="P6:P7" si="2">SUM(I6:N6)*2</f>
        <v>0</v>
      </c>
      <c r="Q6" s="73">
        <f t="shared" ref="Q6:Q7" si="3">SUM(L6:N6)*4</f>
        <v>0</v>
      </c>
      <c r="R6" s="73">
        <f t="shared" ref="R6:R7" si="4">N6*12</f>
        <v>0</v>
      </c>
    </row>
    <row r="7" spans="2:18" ht="15" customHeight="1" x14ac:dyDescent="0.15">
      <c r="B7" s="53" t="s">
        <v>44</v>
      </c>
      <c r="C7" s="72">
        <f>SUMIF('T12 Intake'!$Q$4:$Q$1000,$B7,'T12 Intake'!D$4:D$1000)</f>
        <v>0</v>
      </c>
      <c r="D7" s="72">
        <f>SUMIF('T12 Intake'!$Q$4:$Q$1000,$B7,'T12 Intake'!E$4:E$1000)</f>
        <v>0</v>
      </c>
      <c r="E7" s="72">
        <f>SUMIF('T12 Intake'!$Q$4:$Q$1000,$B7,'T12 Intake'!F$4:F$1000)</f>
        <v>0</v>
      </c>
      <c r="F7" s="72">
        <f>SUMIF('T12 Intake'!$Q$4:$Q$1000,$B7,'T12 Intake'!G$4:G$1000)</f>
        <v>0</v>
      </c>
      <c r="G7" s="72">
        <f>SUMIF('T12 Intake'!$Q$4:$Q$1000,$B7,'T12 Intake'!H$4:H$1000)</f>
        <v>0</v>
      </c>
      <c r="H7" s="72">
        <f>SUMIF('T12 Intake'!$Q$4:$Q$1000,$B7,'T12 Intake'!I$4:I$1000)</f>
        <v>0</v>
      </c>
      <c r="I7" s="72">
        <f>SUMIF('T12 Intake'!$Q$4:$Q$1000,$B7,'T12 Intake'!J$4:J$1000)</f>
        <v>0</v>
      </c>
      <c r="J7" s="72">
        <f>SUMIF('T12 Intake'!$Q$4:$Q$1000,$B7,'T12 Intake'!K$4:K$1000)</f>
        <v>0</v>
      </c>
      <c r="K7" s="72">
        <f>SUMIF('T12 Intake'!$Q$4:$Q$1000,$B7,'T12 Intake'!L$4:L$1000)</f>
        <v>0</v>
      </c>
      <c r="L7" s="72">
        <f>SUMIF('T12 Intake'!$Q$4:$Q$1000,$B7,'T12 Intake'!M$4:M$1000)</f>
        <v>0</v>
      </c>
      <c r="M7" s="72">
        <f>SUMIF('T12 Intake'!$Q$4:$Q$1000,$B7,'T12 Intake'!N$4:N$1000)</f>
        <v>0</v>
      </c>
      <c r="N7" s="72">
        <f>SUMIF('T12 Intake'!$Q$4:$Q$1000,$B7,'T12 Intake'!O$4:O$1000)</f>
        <v>0</v>
      </c>
      <c r="O7" s="73">
        <f>SUMIF('T12 Intake'!$Q$4:$Q$1000,$B7,'T12 Intake'!P$4:P$1000)</f>
        <v>0</v>
      </c>
      <c r="P7" s="73">
        <f t="shared" si="2"/>
        <v>0</v>
      </c>
      <c r="Q7" s="73">
        <f t="shared" si="3"/>
        <v>0</v>
      </c>
      <c r="R7" s="73">
        <f t="shared" si="4"/>
        <v>0</v>
      </c>
    </row>
    <row r="8" spans="2:18" ht="15" customHeight="1" x14ac:dyDescent="0.15">
      <c r="B8" s="55" t="s">
        <v>77</v>
      </c>
      <c r="C8" s="74">
        <f>SUM(C5:C7)</f>
        <v>0</v>
      </c>
      <c r="D8" s="74">
        <f t="shared" ref="D8:R8" si="5">SUM(D5:D7)</f>
        <v>0</v>
      </c>
      <c r="E8" s="74">
        <f t="shared" si="5"/>
        <v>0</v>
      </c>
      <c r="F8" s="74">
        <f t="shared" si="5"/>
        <v>0</v>
      </c>
      <c r="G8" s="74">
        <f t="shared" si="5"/>
        <v>0</v>
      </c>
      <c r="H8" s="74">
        <f t="shared" si="5"/>
        <v>0</v>
      </c>
      <c r="I8" s="74">
        <f t="shared" si="5"/>
        <v>0</v>
      </c>
      <c r="J8" s="74">
        <f t="shared" si="5"/>
        <v>0</v>
      </c>
      <c r="K8" s="74">
        <f t="shared" si="5"/>
        <v>0</v>
      </c>
      <c r="L8" s="74">
        <f t="shared" si="5"/>
        <v>0</v>
      </c>
      <c r="M8" s="74">
        <f t="shared" si="5"/>
        <v>0</v>
      </c>
      <c r="N8" s="74">
        <f t="shared" si="5"/>
        <v>0</v>
      </c>
      <c r="O8" s="56">
        <f t="shared" si="5"/>
        <v>0</v>
      </c>
      <c r="P8" s="56">
        <f t="shared" si="5"/>
        <v>0</v>
      </c>
      <c r="Q8" s="56">
        <f t="shared" si="5"/>
        <v>0</v>
      </c>
      <c r="R8" s="56">
        <f t="shared" si="5"/>
        <v>0</v>
      </c>
    </row>
    <row r="9" spans="2:18" ht="15" customHeight="1" x14ac:dyDescent="0.15">
      <c r="B9" s="53" t="s">
        <v>45</v>
      </c>
      <c r="C9" s="72">
        <f>SUMIF('T12 Intake'!$Q$4:$Q$1000,$B9,'T12 Intake'!D$4:D$1000)</f>
        <v>0</v>
      </c>
      <c r="D9" s="72">
        <f>SUMIF('T12 Intake'!$Q$4:$Q$1000,$B9,'T12 Intake'!E$4:E$1000)</f>
        <v>0</v>
      </c>
      <c r="E9" s="72">
        <f>SUMIF('T12 Intake'!$Q$4:$Q$1000,$B9,'T12 Intake'!F$4:F$1000)</f>
        <v>0</v>
      </c>
      <c r="F9" s="72">
        <f>SUMIF('T12 Intake'!$Q$4:$Q$1000,$B9,'T12 Intake'!G$4:G$1000)</f>
        <v>0</v>
      </c>
      <c r="G9" s="72">
        <f>SUMIF('T12 Intake'!$Q$4:$Q$1000,$B9,'T12 Intake'!H$4:H$1000)</f>
        <v>0</v>
      </c>
      <c r="H9" s="72">
        <f>SUMIF('T12 Intake'!$Q$4:$Q$1000,$B9,'T12 Intake'!I$4:I$1000)</f>
        <v>0</v>
      </c>
      <c r="I9" s="72">
        <f>SUMIF('T12 Intake'!$Q$4:$Q$1000,$B9,'T12 Intake'!J$4:J$1000)</f>
        <v>0</v>
      </c>
      <c r="J9" s="72">
        <f>SUMIF('T12 Intake'!$Q$4:$Q$1000,$B9,'T12 Intake'!K$4:K$1000)</f>
        <v>0</v>
      </c>
      <c r="K9" s="72">
        <f>SUMIF('T12 Intake'!$Q$4:$Q$1000,$B9,'T12 Intake'!L$4:L$1000)</f>
        <v>0</v>
      </c>
      <c r="L9" s="72">
        <f>SUMIF('T12 Intake'!$Q$4:$Q$1000,$B9,'T12 Intake'!M$4:M$1000)</f>
        <v>0</v>
      </c>
      <c r="M9" s="72">
        <f>SUMIF('T12 Intake'!$Q$4:$Q$1000,$B9,'T12 Intake'!N$4:N$1000)</f>
        <v>0</v>
      </c>
      <c r="N9" s="72">
        <f>SUMIF('T12 Intake'!$Q$4:$Q$1000,$B9,'T12 Intake'!O$4:O$1000)</f>
        <v>0</v>
      </c>
      <c r="O9" s="73">
        <f>SUMIF('T12 Intake'!$Q$4:$Q$1000,$B9,'T12 Intake'!P$4:P$1000)</f>
        <v>0</v>
      </c>
      <c r="P9" s="73">
        <f t="shared" ref="P9:P13" si="6">SUM(I9:N9)*2</f>
        <v>0</v>
      </c>
      <c r="Q9" s="73">
        <f t="shared" ref="Q9:Q13" si="7">SUM(L9:N9)*4</f>
        <v>0</v>
      </c>
      <c r="R9" s="73">
        <f>N9*12</f>
        <v>0</v>
      </c>
    </row>
    <row r="10" spans="2:18" ht="15" customHeight="1" x14ac:dyDescent="0.15">
      <c r="B10" s="53" t="s">
        <v>46</v>
      </c>
      <c r="C10" s="72">
        <f>SUMIF('T12 Intake'!$Q$4:$Q$1000,$B10,'T12 Intake'!D$4:D$1000)</f>
        <v>0</v>
      </c>
      <c r="D10" s="72">
        <f>SUMIF('T12 Intake'!$Q$4:$Q$1000,$B10,'T12 Intake'!E$4:E$1000)</f>
        <v>0</v>
      </c>
      <c r="E10" s="72">
        <f>SUMIF('T12 Intake'!$Q$4:$Q$1000,$B10,'T12 Intake'!F$4:F$1000)</f>
        <v>0</v>
      </c>
      <c r="F10" s="72">
        <f>SUMIF('T12 Intake'!$Q$4:$Q$1000,$B10,'T12 Intake'!G$4:G$1000)</f>
        <v>0</v>
      </c>
      <c r="G10" s="72">
        <f>SUMIF('T12 Intake'!$Q$4:$Q$1000,$B10,'T12 Intake'!H$4:H$1000)</f>
        <v>0</v>
      </c>
      <c r="H10" s="72">
        <f>SUMIF('T12 Intake'!$Q$4:$Q$1000,$B10,'T12 Intake'!I$4:I$1000)</f>
        <v>0</v>
      </c>
      <c r="I10" s="72">
        <f>SUMIF('T12 Intake'!$Q$4:$Q$1000,$B10,'T12 Intake'!J$4:J$1000)</f>
        <v>0</v>
      </c>
      <c r="J10" s="72">
        <f>SUMIF('T12 Intake'!$Q$4:$Q$1000,$B10,'T12 Intake'!K$4:K$1000)</f>
        <v>0</v>
      </c>
      <c r="K10" s="72">
        <f>SUMIF('T12 Intake'!$Q$4:$Q$1000,$B10,'T12 Intake'!L$4:L$1000)</f>
        <v>0</v>
      </c>
      <c r="L10" s="72">
        <f>SUMIF('T12 Intake'!$Q$4:$Q$1000,$B10,'T12 Intake'!M$4:M$1000)</f>
        <v>0</v>
      </c>
      <c r="M10" s="72">
        <f>SUMIF('T12 Intake'!$Q$4:$Q$1000,$B10,'T12 Intake'!N$4:N$1000)</f>
        <v>0</v>
      </c>
      <c r="N10" s="72">
        <f>SUMIF('T12 Intake'!$Q$4:$Q$1000,$B10,'T12 Intake'!O$4:O$1000)</f>
        <v>0</v>
      </c>
      <c r="O10" s="73">
        <f>SUMIF('T12 Intake'!$Q$4:$Q$1000,$B10,'T12 Intake'!P$4:P$1000)</f>
        <v>0</v>
      </c>
      <c r="P10" s="73">
        <f t="shared" si="6"/>
        <v>0</v>
      </c>
      <c r="Q10" s="73">
        <f t="shared" si="7"/>
        <v>0</v>
      </c>
      <c r="R10" s="73">
        <f t="shared" ref="R10:R13" si="8">N10*12</f>
        <v>0</v>
      </c>
    </row>
    <row r="11" spans="2:18" ht="15" customHeight="1" x14ac:dyDescent="0.15">
      <c r="B11" s="57" t="s">
        <v>47</v>
      </c>
      <c r="C11" s="72">
        <f>SUMIF('T12 Intake'!$Q$4:$Q$1000,$B11,'T12 Intake'!D$4:D$1000)</f>
        <v>0</v>
      </c>
      <c r="D11" s="72">
        <f>SUMIF('T12 Intake'!$Q$4:$Q$1000,$B11,'T12 Intake'!E$4:E$1000)</f>
        <v>0</v>
      </c>
      <c r="E11" s="72">
        <f>SUMIF('T12 Intake'!$Q$4:$Q$1000,$B11,'T12 Intake'!F$4:F$1000)</f>
        <v>0</v>
      </c>
      <c r="F11" s="72">
        <f>SUMIF('T12 Intake'!$Q$4:$Q$1000,$B11,'T12 Intake'!G$4:G$1000)</f>
        <v>0</v>
      </c>
      <c r="G11" s="72">
        <f>SUMIF('T12 Intake'!$Q$4:$Q$1000,$B11,'T12 Intake'!H$4:H$1000)</f>
        <v>0</v>
      </c>
      <c r="H11" s="72">
        <f>SUMIF('T12 Intake'!$Q$4:$Q$1000,$B11,'T12 Intake'!I$4:I$1000)</f>
        <v>0</v>
      </c>
      <c r="I11" s="72">
        <f>SUMIF('T12 Intake'!$Q$4:$Q$1000,$B11,'T12 Intake'!J$4:J$1000)</f>
        <v>0</v>
      </c>
      <c r="J11" s="72">
        <f>SUMIF('T12 Intake'!$Q$4:$Q$1000,$B11,'T12 Intake'!K$4:K$1000)</f>
        <v>0</v>
      </c>
      <c r="K11" s="72">
        <f>SUMIF('T12 Intake'!$Q$4:$Q$1000,$B11,'T12 Intake'!L$4:L$1000)</f>
        <v>0</v>
      </c>
      <c r="L11" s="72">
        <f>SUMIF('T12 Intake'!$Q$4:$Q$1000,$B11,'T12 Intake'!M$4:M$1000)</f>
        <v>0</v>
      </c>
      <c r="M11" s="72">
        <f>SUMIF('T12 Intake'!$Q$4:$Q$1000,$B11,'T12 Intake'!N$4:N$1000)</f>
        <v>0</v>
      </c>
      <c r="N11" s="72">
        <f>SUMIF('T12 Intake'!$Q$4:$Q$1000,$B11,'T12 Intake'!O$4:O$1000)</f>
        <v>0</v>
      </c>
      <c r="O11" s="73">
        <f>SUMIF('T12 Intake'!$Q$4:$Q$1000,$B11,'T12 Intake'!P$4:P$1000)</f>
        <v>0</v>
      </c>
      <c r="P11" s="73">
        <f t="shared" si="6"/>
        <v>0</v>
      </c>
      <c r="Q11" s="73">
        <f t="shared" si="7"/>
        <v>0</v>
      </c>
      <c r="R11" s="73">
        <f t="shared" si="8"/>
        <v>0</v>
      </c>
    </row>
    <row r="12" spans="2:18" ht="15" customHeight="1" x14ac:dyDescent="0.15">
      <c r="B12" s="57" t="s">
        <v>48</v>
      </c>
      <c r="C12" s="72">
        <f>SUMIF('T12 Intake'!$Q$4:$Q$1000,$B12,'T12 Intake'!D$4:D$1000)</f>
        <v>0</v>
      </c>
      <c r="D12" s="72">
        <f>SUMIF('T12 Intake'!$Q$4:$Q$1000,$B12,'T12 Intake'!E$4:E$1000)</f>
        <v>0</v>
      </c>
      <c r="E12" s="72">
        <f>SUMIF('T12 Intake'!$Q$4:$Q$1000,$B12,'T12 Intake'!F$4:F$1000)</f>
        <v>0</v>
      </c>
      <c r="F12" s="72">
        <f>SUMIF('T12 Intake'!$Q$4:$Q$1000,$B12,'T12 Intake'!G$4:G$1000)</f>
        <v>0</v>
      </c>
      <c r="G12" s="72">
        <f>SUMIF('T12 Intake'!$Q$4:$Q$1000,$B12,'T12 Intake'!H$4:H$1000)</f>
        <v>0</v>
      </c>
      <c r="H12" s="72">
        <f>SUMIF('T12 Intake'!$Q$4:$Q$1000,$B12,'T12 Intake'!I$4:I$1000)</f>
        <v>0</v>
      </c>
      <c r="I12" s="72">
        <f>SUMIF('T12 Intake'!$Q$4:$Q$1000,$B12,'T12 Intake'!J$4:J$1000)</f>
        <v>0</v>
      </c>
      <c r="J12" s="72">
        <f>SUMIF('T12 Intake'!$Q$4:$Q$1000,$B12,'T12 Intake'!K$4:K$1000)</f>
        <v>0</v>
      </c>
      <c r="K12" s="72">
        <f>SUMIF('T12 Intake'!$Q$4:$Q$1000,$B12,'T12 Intake'!L$4:L$1000)</f>
        <v>0</v>
      </c>
      <c r="L12" s="72">
        <f>SUMIF('T12 Intake'!$Q$4:$Q$1000,$B12,'T12 Intake'!M$4:M$1000)</f>
        <v>0</v>
      </c>
      <c r="M12" s="72">
        <f>SUMIF('T12 Intake'!$Q$4:$Q$1000,$B12,'T12 Intake'!N$4:N$1000)</f>
        <v>0</v>
      </c>
      <c r="N12" s="72">
        <f>SUMIF('T12 Intake'!$Q$4:$Q$1000,$B12,'T12 Intake'!O$4:O$1000)</f>
        <v>0</v>
      </c>
      <c r="O12" s="73">
        <f>SUMIF('T12 Intake'!$Q$4:$Q$1000,$B12,'T12 Intake'!P$4:P$1000)</f>
        <v>0</v>
      </c>
      <c r="P12" s="73">
        <f t="shared" si="6"/>
        <v>0</v>
      </c>
      <c r="Q12" s="73">
        <f t="shared" si="7"/>
        <v>0</v>
      </c>
      <c r="R12" s="73">
        <f t="shared" si="8"/>
        <v>0</v>
      </c>
    </row>
    <row r="13" spans="2:18" ht="15" customHeight="1" x14ac:dyDescent="0.15">
      <c r="B13" s="57" t="s">
        <v>49</v>
      </c>
      <c r="C13" s="281">
        <f>SUMIF('T12 Intake'!$Q$4:$Q$1000,$B13,'T12 Intake'!D$4:D$1000)</f>
        <v>0</v>
      </c>
      <c r="D13" s="72">
        <f>SUMIF('T12 Intake'!$Q$4:$Q$1000,$B13,'T12 Intake'!E$4:E$1000)</f>
        <v>0</v>
      </c>
      <c r="E13" s="72">
        <f>SUMIF('T12 Intake'!$Q$4:$Q$1000,$B13,'T12 Intake'!F$4:F$1000)</f>
        <v>0</v>
      </c>
      <c r="F13" s="72">
        <f>SUMIF('T12 Intake'!$Q$4:$Q$1000,$B13,'T12 Intake'!G$4:G$1000)</f>
        <v>0</v>
      </c>
      <c r="G13" s="72">
        <f>SUMIF('T12 Intake'!$Q$4:$Q$1000,$B13,'T12 Intake'!H$4:H$1000)</f>
        <v>0</v>
      </c>
      <c r="H13" s="72">
        <f>SUMIF('T12 Intake'!$Q$4:$Q$1000,$B13,'T12 Intake'!I$4:I$1000)</f>
        <v>0</v>
      </c>
      <c r="I13" s="72">
        <f>SUMIF('T12 Intake'!$Q$4:$Q$1000,$B13,'T12 Intake'!J$4:J$1000)</f>
        <v>0</v>
      </c>
      <c r="J13" s="72">
        <f>SUMIF('T12 Intake'!$Q$4:$Q$1000,$B13,'T12 Intake'!K$4:K$1000)</f>
        <v>0</v>
      </c>
      <c r="K13" s="72">
        <f>SUMIF('T12 Intake'!$Q$4:$Q$1000,$B13,'T12 Intake'!L$4:L$1000)</f>
        <v>0</v>
      </c>
      <c r="L13" s="72">
        <f>SUMIF('T12 Intake'!$Q$4:$Q$1000,$B13,'T12 Intake'!M$4:M$1000)</f>
        <v>0</v>
      </c>
      <c r="M13" s="72">
        <f>SUMIF('T12 Intake'!$Q$4:$Q$1000,$B13,'T12 Intake'!N$4:N$1000)</f>
        <v>0</v>
      </c>
      <c r="N13" s="72">
        <f>SUMIF('T12 Intake'!$Q$4:$Q$1000,$B13,'T12 Intake'!O$4:O$1000)</f>
        <v>0</v>
      </c>
      <c r="O13" s="73">
        <f>SUMIF('T12 Intake'!$Q$4:$Q$1000,$B13,'T12 Intake'!P$4:P$1000)</f>
        <v>0</v>
      </c>
      <c r="P13" s="73">
        <f t="shared" si="6"/>
        <v>0</v>
      </c>
      <c r="Q13" s="73">
        <f t="shared" si="7"/>
        <v>0</v>
      </c>
      <c r="R13" s="73">
        <f t="shared" si="8"/>
        <v>0</v>
      </c>
    </row>
    <row r="14" spans="2:18" ht="15" customHeight="1" x14ac:dyDescent="0.15">
      <c r="B14" s="55" t="s">
        <v>78</v>
      </c>
      <c r="C14" s="74">
        <f>SUM(C8:C13)</f>
        <v>0</v>
      </c>
      <c r="D14" s="74">
        <f t="shared" ref="D14:R14" si="9">SUM(D8:D13)</f>
        <v>0</v>
      </c>
      <c r="E14" s="74">
        <f t="shared" si="9"/>
        <v>0</v>
      </c>
      <c r="F14" s="74">
        <f t="shared" si="9"/>
        <v>0</v>
      </c>
      <c r="G14" s="74">
        <f t="shared" si="9"/>
        <v>0</v>
      </c>
      <c r="H14" s="74">
        <f t="shared" si="9"/>
        <v>0</v>
      </c>
      <c r="I14" s="74">
        <f t="shared" si="9"/>
        <v>0</v>
      </c>
      <c r="J14" s="74">
        <f t="shared" si="9"/>
        <v>0</v>
      </c>
      <c r="K14" s="74">
        <f t="shared" si="9"/>
        <v>0</v>
      </c>
      <c r="L14" s="74">
        <f t="shared" si="9"/>
        <v>0</v>
      </c>
      <c r="M14" s="74">
        <f t="shared" si="9"/>
        <v>0</v>
      </c>
      <c r="N14" s="74">
        <f t="shared" si="9"/>
        <v>0</v>
      </c>
      <c r="O14" s="56">
        <f t="shared" si="9"/>
        <v>0</v>
      </c>
      <c r="P14" s="56">
        <f t="shared" si="9"/>
        <v>0</v>
      </c>
      <c r="Q14" s="56">
        <f t="shared" si="9"/>
        <v>0</v>
      </c>
      <c r="R14" s="56">
        <f t="shared" si="9"/>
        <v>0</v>
      </c>
    </row>
    <row r="15" spans="2:18" ht="15" customHeight="1" x14ac:dyDescent="0.15">
      <c r="B15" s="58" t="s">
        <v>79</v>
      </c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6"/>
      <c r="P15" s="76"/>
      <c r="Q15" s="76"/>
      <c r="R15" s="76"/>
    </row>
    <row r="16" spans="2:18" ht="15" customHeight="1" x14ac:dyDescent="0.15">
      <c r="B16" s="53" t="s">
        <v>50</v>
      </c>
      <c r="C16" s="72">
        <f>SUMIF('T12 Intake'!$Q$4:$Q$1000,$B16,'T12 Intake'!D$4:D$1000)</f>
        <v>0</v>
      </c>
      <c r="D16" s="72">
        <f>SUMIF('T12 Intake'!$Q$4:$Q$1000,$B16,'T12 Intake'!E$4:E$1000)</f>
        <v>0</v>
      </c>
      <c r="E16" s="72">
        <f>SUMIF('T12 Intake'!$Q$4:$Q$1000,$B16,'T12 Intake'!F$4:F$1000)</f>
        <v>0</v>
      </c>
      <c r="F16" s="72">
        <f>SUMIF('T12 Intake'!$Q$4:$Q$1000,$B16,'T12 Intake'!G$4:G$1000)</f>
        <v>0</v>
      </c>
      <c r="G16" s="72">
        <f>SUMIF('T12 Intake'!$Q$4:$Q$1000,$B16,'T12 Intake'!H$4:H$1000)</f>
        <v>0</v>
      </c>
      <c r="H16" s="72">
        <f>SUMIF('T12 Intake'!$Q$4:$Q$1000,$B16,'T12 Intake'!I$4:I$1000)</f>
        <v>0</v>
      </c>
      <c r="I16" s="72">
        <f>SUMIF('T12 Intake'!$Q$4:$Q$1000,$B16,'T12 Intake'!J$4:J$1000)</f>
        <v>0</v>
      </c>
      <c r="J16" s="72">
        <f>SUMIF('T12 Intake'!$Q$4:$Q$1000,$B16,'T12 Intake'!K$4:K$1000)</f>
        <v>0</v>
      </c>
      <c r="K16" s="72">
        <f>SUMIF('T12 Intake'!$Q$4:$Q$1000,$B16,'T12 Intake'!L$4:L$1000)</f>
        <v>0</v>
      </c>
      <c r="L16" s="72">
        <f>SUMIF('T12 Intake'!$Q$4:$Q$1000,$B16,'T12 Intake'!M$4:M$1000)</f>
        <v>0</v>
      </c>
      <c r="M16" s="72">
        <f>SUMIF('T12 Intake'!$Q$4:$Q$1000,$B16,'T12 Intake'!N$4:N$1000)</f>
        <v>0</v>
      </c>
      <c r="N16" s="72">
        <f>SUMIF('T12 Intake'!$Q$4:$Q$1000,$B16,'T12 Intake'!O$4:O$1000)</f>
        <v>0</v>
      </c>
      <c r="O16" s="73">
        <f>SUMIF('T12 Intake'!$Q$4:$Q$1000,$B16,'T12 Intake'!P$4:P$1000)</f>
        <v>0</v>
      </c>
      <c r="P16" s="73">
        <f t="shared" ref="P16:P21" si="10">SUM(I16:N16)*2</f>
        <v>0</v>
      </c>
      <c r="Q16" s="73">
        <f t="shared" ref="Q16:Q21" si="11">SUM(L16:N16)*4</f>
        <v>0</v>
      </c>
      <c r="R16" s="73">
        <f t="shared" ref="R16:R21" si="12">N16*12</f>
        <v>0</v>
      </c>
    </row>
    <row r="17" spans="2:18" ht="15" customHeight="1" x14ac:dyDescent="0.15">
      <c r="B17" s="53" t="s">
        <v>51</v>
      </c>
      <c r="C17" s="72">
        <f>SUMIF('T12 Intake'!$Q$4:$Q$1000,$B17,'T12 Intake'!D$4:D$1000)</f>
        <v>0</v>
      </c>
      <c r="D17" s="72">
        <f>SUMIF('T12 Intake'!$Q$4:$Q$1000,$B17,'T12 Intake'!E$4:E$1000)</f>
        <v>0</v>
      </c>
      <c r="E17" s="72">
        <f>SUMIF('T12 Intake'!$Q$4:$Q$1000,$B17,'T12 Intake'!F$4:F$1000)</f>
        <v>0</v>
      </c>
      <c r="F17" s="72">
        <f>SUMIF('T12 Intake'!$Q$4:$Q$1000,$B17,'T12 Intake'!G$4:G$1000)</f>
        <v>0</v>
      </c>
      <c r="G17" s="72">
        <f>SUMIF('T12 Intake'!$Q$4:$Q$1000,$B17,'T12 Intake'!H$4:H$1000)</f>
        <v>0</v>
      </c>
      <c r="H17" s="72">
        <f>SUMIF('T12 Intake'!$Q$4:$Q$1000,$B17,'T12 Intake'!I$4:I$1000)</f>
        <v>0</v>
      </c>
      <c r="I17" s="72">
        <f>SUMIF('T12 Intake'!$Q$4:$Q$1000,$B17,'T12 Intake'!J$4:J$1000)</f>
        <v>0</v>
      </c>
      <c r="J17" s="72">
        <f>SUMIF('T12 Intake'!$Q$4:$Q$1000,$B17,'T12 Intake'!K$4:K$1000)</f>
        <v>0</v>
      </c>
      <c r="K17" s="72">
        <f>SUMIF('T12 Intake'!$Q$4:$Q$1000,$B17,'T12 Intake'!L$4:L$1000)</f>
        <v>0</v>
      </c>
      <c r="L17" s="72">
        <f>SUMIF('T12 Intake'!$Q$4:$Q$1000,$B17,'T12 Intake'!M$4:M$1000)</f>
        <v>0</v>
      </c>
      <c r="M17" s="72">
        <f>SUMIF('T12 Intake'!$Q$4:$Q$1000,$B17,'T12 Intake'!N$4:N$1000)</f>
        <v>0</v>
      </c>
      <c r="N17" s="72">
        <f>SUMIF('T12 Intake'!$Q$4:$Q$1000,$B17,'T12 Intake'!O$4:O$1000)</f>
        <v>0</v>
      </c>
      <c r="O17" s="73">
        <f>SUMIF('T12 Intake'!$Q$4:$Q$1000,$B17,'T12 Intake'!P$4:P$1000)</f>
        <v>0</v>
      </c>
      <c r="P17" s="73">
        <f t="shared" si="10"/>
        <v>0</v>
      </c>
      <c r="Q17" s="73">
        <f t="shared" si="11"/>
        <v>0</v>
      </c>
      <c r="R17" s="73">
        <f t="shared" si="12"/>
        <v>0</v>
      </c>
    </row>
    <row r="18" spans="2:18" ht="15" customHeight="1" x14ac:dyDescent="0.15">
      <c r="B18" s="53" t="s">
        <v>52</v>
      </c>
      <c r="C18" s="72">
        <f>SUMIF('T12 Intake'!$Q$4:$Q$1000,$B18,'T12 Intake'!D$4:D$1000)</f>
        <v>0</v>
      </c>
      <c r="D18" s="72">
        <f>SUMIF('T12 Intake'!$Q$4:$Q$1000,$B18,'T12 Intake'!E$4:E$1000)</f>
        <v>0</v>
      </c>
      <c r="E18" s="72">
        <f>SUMIF('T12 Intake'!$Q$4:$Q$1000,$B18,'T12 Intake'!F$4:F$1000)</f>
        <v>0</v>
      </c>
      <c r="F18" s="72">
        <f>SUMIF('T12 Intake'!$Q$4:$Q$1000,$B18,'T12 Intake'!G$4:G$1000)</f>
        <v>0</v>
      </c>
      <c r="G18" s="72">
        <f>SUMIF('T12 Intake'!$Q$4:$Q$1000,$B18,'T12 Intake'!H$4:H$1000)</f>
        <v>0</v>
      </c>
      <c r="H18" s="72">
        <f>SUMIF('T12 Intake'!$Q$4:$Q$1000,$B18,'T12 Intake'!I$4:I$1000)</f>
        <v>0</v>
      </c>
      <c r="I18" s="72">
        <f>SUMIF('T12 Intake'!$Q$4:$Q$1000,$B18,'T12 Intake'!J$4:J$1000)</f>
        <v>0</v>
      </c>
      <c r="J18" s="72">
        <f>SUMIF('T12 Intake'!$Q$4:$Q$1000,$B18,'T12 Intake'!K$4:K$1000)</f>
        <v>0</v>
      </c>
      <c r="K18" s="72">
        <f>SUMIF('T12 Intake'!$Q$4:$Q$1000,$B18,'T12 Intake'!L$4:L$1000)</f>
        <v>0</v>
      </c>
      <c r="L18" s="72">
        <f>SUMIF('T12 Intake'!$Q$4:$Q$1000,$B18,'T12 Intake'!M$4:M$1000)</f>
        <v>0</v>
      </c>
      <c r="M18" s="72">
        <f>SUMIF('T12 Intake'!$Q$4:$Q$1000,$B18,'T12 Intake'!N$4:N$1000)</f>
        <v>0</v>
      </c>
      <c r="N18" s="72">
        <f>SUMIF('T12 Intake'!$Q$4:$Q$1000,$B18,'T12 Intake'!O$4:O$1000)</f>
        <v>0</v>
      </c>
      <c r="O18" s="73">
        <f>SUMIF('T12 Intake'!$Q$4:$Q$1000,$B18,'T12 Intake'!P$4:P$1000)</f>
        <v>0</v>
      </c>
      <c r="P18" s="73">
        <f t="shared" si="10"/>
        <v>0</v>
      </c>
      <c r="Q18" s="73">
        <f t="shared" si="11"/>
        <v>0</v>
      </c>
      <c r="R18" s="73">
        <f t="shared" si="12"/>
        <v>0</v>
      </c>
    </row>
    <row r="19" spans="2:18" ht="15" customHeight="1" x14ac:dyDescent="0.15">
      <c r="B19" s="53" t="s">
        <v>53</v>
      </c>
      <c r="C19" s="72">
        <f>SUMIF('T12 Intake'!$Q$4:$Q$1000,$B19,'T12 Intake'!D$4:D$1000)</f>
        <v>0</v>
      </c>
      <c r="D19" s="72">
        <f>SUMIF('T12 Intake'!$Q$4:$Q$1000,$B19,'T12 Intake'!E$4:E$1000)</f>
        <v>0</v>
      </c>
      <c r="E19" s="72">
        <f>SUMIF('T12 Intake'!$Q$4:$Q$1000,$B19,'T12 Intake'!F$4:F$1000)</f>
        <v>0</v>
      </c>
      <c r="F19" s="72">
        <f>SUMIF('T12 Intake'!$Q$4:$Q$1000,$B19,'T12 Intake'!G$4:G$1000)</f>
        <v>0</v>
      </c>
      <c r="G19" s="72">
        <f>SUMIF('T12 Intake'!$Q$4:$Q$1000,$B19,'T12 Intake'!H$4:H$1000)</f>
        <v>0</v>
      </c>
      <c r="H19" s="72">
        <f>SUMIF('T12 Intake'!$Q$4:$Q$1000,$B19,'T12 Intake'!I$4:I$1000)</f>
        <v>0</v>
      </c>
      <c r="I19" s="72">
        <f>SUMIF('T12 Intake'!$Q$4:$Q$1000,$B19,'T12 Intake'!J$4:J$1000)</f>
        <v>0</v>
      </c>
      <c r="J19" s="72">
        <f>SUMIF('T12 Intake'!$Q$4:$Q$1000,$B19,'T12 Intake'!K$4:K$1000)</f>
        <v>0</v>
      </c>
      <c r="K19" s="72">
        <f>SUMIF('T12 Intake'!$Q$4:$Q$1000,$B19,'T12 Intake'!L$4:L$1000)</f>
        <v>0</v>
      </c>
      <c r="L19" s="72">
        <f>SUMIF('T12 Intake'!$Q$4:$Q$1000,$B19,'T12 Intake'!M$4:M$1000)</f>
        <v>0</v>
      </c>
      <c r="M19" s="72">
        <f>SUMIF('T12 Intake'!$Q$4:$Q$1000,$B19,'T12 Intake'!N$4:N$1000)</f>
        <v>0</v>
      </c>
      <c r="N19" s="72">
        <f>SUMIF('T12 Intake'!$Q$4:$Q$1000,$B19,'T12 Intake'!O$4:O$1000)</f>
        <v>0</v>
      </c>
      <c r="O19" s="73">
        <f>SUMIF('T12 Intake'!$Q$4:$Q$1000,$B19,'T12 Intake'!P$4:P$1000)</f>
        <v>0</v>
      </c>
      <c r="P19" s="73">
        <f t="shared" si="10"/>
        <v>0</v>
      </c>
      <c r="Q19" s="73">
        <f t="shared" si="11"/>
        <v>0</v>
      </c>
      <c r="R19" s="73">
        <f t="shared" si="12"/>
        <v>0</v>
      </c>
    </row>
    <row r="20" spans="2:18" ht="15" customHeight="1" x14ac:dyDescent="0.15">
      <c r="B20" s="53" t="s">
        <v>54</v>
      </c>
      <c r="C20" s="72">
        <f>SUMIF('T12 Intake'!$Q$4:$Q$1000,$B20,'T12 Intake'!D$4:D$1000)</f>
        <v>0</v>
      </c>
      <c r="D20" s="72">
        <f>SUMIF('T12 Intake'!$Q$4:$Q$1000,$B20,'T12 Intake'!E$4:E$1000)</f>
        <v>0</v>
      </c>
      <c r="E20" s="72">
        <f>SUMIF('T12 Intake'!$Q$4:$Q$1000,$B20,'T12 Intake'!F$4:F$1000)</f>
        <v>0</v>
      </c>
      <c r="F20" s="72">
        <f>SUMIF('T12 Intake'!$Q$4:$Q$1000,$B20,'T12 Intake'!G$4:G$1000)</f>
        <v>0</v>
      </c>
      <c r="G20" s="72">
        <f>SUMIF('T12 Intake'!$Q$4:$Q$1000,$B20,'T12 Intake'!H$4:H$1000)</f>
        <v>0</v>
      </c>
      <c r="H20" s="72">
        <f>SUMIF('T12 Intake'!$Q$4:$Q$1000,$B20,'T12 Intake'!I$4:I$1000)</f>
        <v>0</v>
      </c>
      <c r="I20" s="72">
        <f>SUMIF('T12 Intake'!$Q$4:$Q$1000,$B20,'T12 Intake'!J$4:J$1000)</f>
        <v>0</v>
      </c>
      <c r="J20" s="72">
        <f>SUMIF('T12 Intake'!$Q$4:$Q$1000,$B20,'T12 Intake'!K$4:K$1000)</f>
        <v>0</v>
      </c>
      <c r="K20" s="72">
        <f>SUMIF('T12 Intake'!$Q$4:$Q$1000,$B20,'T12 Intake'!L$4:L$1000)</f>
        <v>0</v>
      </c>
      <c r="L20" s="72">
        <f>SUMIF('T12 Intake'!$Q$4:$Q$1000,$B20,'T12 Intake'!M$4:M$1000)</f>
        <v>0</v>
      </c>
      <c r="M20" s="72">
        <f>SUMIF('T12 Intake'!$Q$4:$Q$1000,$B20,'T12 Intake'!N$4:N$1000)</f>
        <v>0</v>
      </c>
      <c r="N20" s="72">
        <f>SUMIF('T12 Intake'!$Q$4:$Q$1000,$B20,'T12 Intake'!O$4:O$1000)</f>
        <v>0</v>
      </c>
      <c r="O20" s="73">
        <f>SUMIF('T12 Intake'!$Q$4:$Q$1000,$B20,'T12 Intake'!P$4:P$1000)</f>
        <v>0</v>
      </c>
      <c r="P20" s="73">
        <f t="shared" si="10"/>
        <v>0</v>
      </c>
      <c r="Q20" s="73">
        <f t="shared" si="11"/>
        <v>0</v>
      </c>
      <c r="R20" s="73">
        <f t="shared" si="12"/>
        <v>0</v>
      </c>
    </row>
    <row r="21" spans="2:18" ht="15" customHeight="1" x14ac:dyDescent="0.15">
      <c r="B21" s="53" t="s">
        <v>55</v>
      </c>
      <c r="C21" s="281">
        <f>SUMIF('T12 Intake'!$Q$4:$Q$1000,$B21,'T12 Intake'!D$4:D$1000)</f>
        <v>0</v>
      </c>
      <c r="D21" s="72">
        <f>SUMIF('T12 Intake'!$Q$4:$Q$1000,$B21,'T12 Intake'!E$4:E$1000)</f>
        <v>0</v>
      </c>
      <c r="E21" s="72">
        <f>SUMIF('T12 Intake'!$Q$4:$Q$1000,$B21,'T12 Intake'!F$4:F$1000)</f>
        <v>0</v>
      </c>
      <c r="F21" s="72">
        <f>SUMIF('T12 Intake'!$Q$4:$Q$1000,$B21,'T12 Intake'!G$4:G$1000)</f>
        <v>0</v>
      </c>
      <c r="G21" s="72">
        <f>SUMIF('T12 Intake'!$Q$4:$Q$1000,$B21,'T12 Intake'!H$4:H$1000)</f>
        <v>0</v>
      </c>
      <c r="H21" s="72">
        <f>SUMIF('T12 Intake'!$Q$4:$Q$1000,$B21,'T12 Intake'!I$4:I$1000)</f>
        <v>0</v>
      </c>
      <c r="I21" s="72">
        <f>SUMIF('T12 Intake'!$Q$4:$Q$1000,$B21,'T12 Intake'!J$4:J$1000)</f>
        <v>0</v>
      </c>
      <c r="J21" s="72">
        <f>SUMIF('T12 Intake'!$Q$4:$Q$1000,$B21,'T12 Intake'!K$4:K$1000)</f>
        <v>0</v>
      </c>
      <c r="K21" s="72">
        <f>SUMIF('T12 Intake'!$Q$4:$Q$1000,$B21,'T12 Intake'!L$4:L$1000)</f>
        <v>0</v>
      </c>
      <c r="L21" s="72">
        <f>SUMIF('T12 Intake'!$Q$4:$Q$1000,$B21,'T12 Intake'!M$4:M$1000)</f>
        <v>0</v>
      </c>
      <c r="M21" s="72">
        <f>SUMIF('T12 Intake'!$Q$4:$Q$1000,$B21,'T12 Intake'!N$4:N$1000)</f>
        <v>0</v>
      </c>
      <c r="N21" s="72">
        <f>SUMIF('T12 Intake'!$Q$4:$Q$1000,$B21,'T12 Intake'!O$4:O$1000)</f>
        <v>0</v>
      </c>
      <c r="O21" s="73">
        <f>SUMIF('T12 Intake'!$Q$4:$Q$1000,$B21,'T12 Intake'!P$4:P$1000)</f>
        <v>0</v>
      </c>
      <c r="P21" s="73">
        <f t="shared" si="10"/>
        <v>0</v>
      </c>
      <c r="Q21" s="73">
        <f t="shared" si="11"/>
        <v>0</v>
      </c>
      <c r="R21" s="73">
        <f t="shared" si="12"/>
        <v>0</v>
      </c>
    </row>
    <row r="22" spans="2:18" ht="15" customHeight="1" x14ac:dyDescent="0.15">
      <c r="B22" s="55" t="s">
        <v>80</v>
      </c>
      <c r="C22" s="74">
        <f>SUM(C16:C21)</f>
        <v>0</v>
      </c>
      <c r="D22" s="74">
        <f t="shared" ref="D22:R22" si="13">SUM(D16:D21)</f>
        <v>0</v>
      </c>
      <c r="E22" s="74">
        <f t="shared" si="13"/>
        <v>0</v>
      </c>
      <c r="F22" s="74">
        <f t="shared" si="13"/>
        <v>0</v>
      </c>
      <c r="G22" s="74">
        <f t="shared" si="13"/>
        <v>0</v>
      </c>
      <c r="H22" s="74">
        <f t="shared" si="13"/>
        <v>0</v>
      </c>
      <c r="I22" s="74">
        <f t="shared" si="13"/>
        <v>0</v>
      </c>
      <c r="J22" s="74">
        <f t="shared" si="13"/>
        <v>0</v>
      </c>
      <c r="K22" s="74">
        <f t="shared" si="13"/>
        <v>0</v>
      </c>
      <c r="L22" s="74">
        <f t="shared" si="13"/>
        <v>0</v>
      </c>
      <c r="M22" s="74">
        <f t="shared" si="13"/>
        <v>0</v>
      </c>
      <c r="N22" s="74">
        <f t="shared" si="13"/>
        <v>0</v>
      </c>
      <c r="O22" s="56">
        <f t="shared" si="13"/>
        <v>0</v>
      </c>
      <c r="P22" s="56">
        <f t="shared" si="13"/>
        <v>0</v>
      </c>
      <c r="Q22" s="56">
        <f t="shared" si="13"/>
        <v>0</v>
      </c>
      <c r="R22" s="56">
        <f t="shared" si="13"/>
        <v>0</v>
      </c>
    </row>
    <row r="23" spans="2:18" ht="15" customHeight="1" x14ac:dyDescent="0.15">
      <c r="B23" s="53" t="s">
        <v>56</v>
      </c>
      <c r="C23" s="72">
        <f>SUMIF('T12 Intake'!$Q$4:$Q$1000,$B23,'T12 Intake'!D$4:D$1000)</f>
        <v>0</v>
      </c>
      <c r="D23" s="72">
        <f>SUMIF('T12 Intake'!$Q$4:$Q$1000,$B23,'T12 Intake'!E$4:E$1000)</f>
        <v>0</v>
      </c>
      <c r="E23" s="72">
        <f>SUMIF('T12 Intake'!$Q$4:$Q$1000,$B23,'T12 Intake'!F$4:F$1000)</f>
        <v>0</v>
      </c>
      <c r="F23" s="72">
        <f>SUMIF('T12 Intake'!$Q$4:$Q$1000,$B23,'T12 Intake'!G$4:G$1000)</f>
        <v>0</v>
      </c>
      <c r="G23" s="72">
        <f>SUMIF('T12 Intake'!$Q$4:$Q$1000,$B23,'T12 Intake'!H$4:H$1000)</f>
        <v>0</v>
      </c>
      <c r="H23" s="72">
        <f>SUMIF('T12 Intake'!$Q$4:$Q$1000,$B23,'T12 Intake'!I$4:I$1000)</f>
        <v>0</v>
      </c>
      <c r="I23" s="72">
        <f>SUMIF('T12 Intake'!$Q$4:$Q$1000,$B23,'T12 Intake'!J$4:J$1000)</f>
        <v>0</v>
      </c>
      <c r="J23" s="72">
        <f>SUMIF('T12 Intake'!$Q$4:$Q$1000,$B23,'T12 Intake'!K$4:K$1000)</f>
        <v>0</v>
      </c>
      <c r="K23" s="72">
        <f>SUMIF('T12 Intake'!$Q$4:$Q$1000,$B23,'T12 Intake'!L$4:L$1000)</f>
        <v>0</v>
      </c>
      <c r="L23" s="72">
        <f>SUMIF('T12 Intake'!$Q$4:$Q$1000,$B23,'T12 Intake'!M$4:M$1000)</f>
        <v>0</v>
      </c>
      <c r="M23" s="72">
        <f>SUMIF('T12 Intake'!$Q$4:$Q$1000,$B23,'T12 Intake'!N$4:N$1000)</f>
        <v>0</v>
      </c>
      <c r="N23" s="72">
        <f>SUMIF('T12 Intake'!$Q$4:$Q$1000,$B23,'T12 Intake'!O$4:O$1000)</f>
        <v>0</v>
      </c>
      <c r="O23" s="73">
        <f>SUMIF('T12 Intake'!$Q$4:$Q$1000,$B23,'T12 Intake'!P$4:P$1000)</f>
        <v>0</v>
      </c>
      <c r="P23" s="73">
        <f>SUM(I23:N23)*2</f>
        <v>0</v>
      </c>
      <c r="Q23" s="73">
        <f>SUM(L23:N23)*4</f>
        <v>0</v>
      </c>
      <c r="R23" s="73">
        <f>N23*12</f>
        <v>0</v>
      </c>
    </row>
    <row r="24" spans="2:18" ht="15" customHeight="1" x14ac:dyDescent="0.15">
      <c r="B24" s="59" t="s">
        <v>81</v>
      </c>
      <c r="C24" s="77">
        <f>SUM(C14,C22:C23)</f>
        <v>0</v>
      </c>
      <c r="D24" s="77">
        <f t="shared" ref="D24:R24" si="14">SUM(D14,D22:D23)</f>
        <v>0</v>
      </c>
      <c r="E24" s="77">
        <f t="shared" si="14"/>
        <v>0</v>
      </c>
      <c r="F24" s="77">
        <f t="shared" si="14"/>
        <v>0</v>
      </c>
      <c r="G24" s="77">
        <f t="shared" si="14"/>
        <v>0</v>
      </c>
      <c r="H24" s="77">
        <f t="shared" si="14"/>
        <v>0</v>
      </c>
      <c r="I24" s="77">
        <f t="shared" si="14"/>
        <v>0</v>
      </c>
      <c r="J24" s="77">
        <f t="shared" si="14"/>
        <v>0</v>
      </c>
      <c r="K24" s="77">
        <f t="shared" si="14"/>
        <v>0</v>
      </c>
      <c r="L24" s="77">
        <f t="shared" si="14"/>
        <v>0</v>
      </c>
      <c r="M24" s="77">
        <f t="shared" si="14"/>
        <v>0</v>
      </c>
      <c r="N24" s="77">
        <f t="shared" si="14"/>
        <v>0</v>
      </c>
      <c r="O24" s="60">
        <f t="shared" si="14"/>
        <v>0</v>
      </c>
      <c r="P24" s="60">
        <f t="shared" si="14"/>
        <v>0</v>
      </c>
      <c r="Q24" s="60">
        <f t="shared" si="14"/>
        <v>0</v>
      </c>
      <c r="R24" s="60">
        <f t="shared" si="14"/>
        <v>0</v>
      </c>
    </row>
    <row r="25" spans="2:18" ht="15" customHeight="1" x14ac:dyDescent="0.15">
      <c r="B25" s="61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3"/>
      <c r="P25" s="73"/>
      <c r="Q25" s="73"/>
      <c r="R25" s="73"/>
    </row>
    <row r="26" spans="2:18" ht="15" customHeight="1" x14ac:dyDescent="0.15">
      <c r="B26" s="58" t="s">
        <v>82</v>
      </c>
      <c r="C26" s="71">
        <f>C4</f>
        <v>45535</v>
      </c>
      <c r="D26" s="71">
        <f t="shared" ref="D26:R26" si="15">D4</f>
        <v>45565</v>
      </c>
      <c r="E26" s="71">
        <f t="shared" si="15"/>
        <v>45596</v>
      </c>
      <c r="F26" s="71">
        <f t="shared" si="15"/>
        <v>45626</v>
      </c>
      <c r="G26" s="71">
        <f t="shared" si="15"/>
        <v>45657</v>
      </c>
      <c r="H26" s="71">
        <f t="shared" si="15"/>
        <v>45688</v>
      </c>
      <c r="I26" s="71">
        <f t="shared" si="15"/>
        <v>45716</v>
      </c>
      <c r="J26" s="71">
        <f t="shared" si="15"/>
        <v>45747</v>
      </c>
      <c r="K26" s="71">
        <f t="shared" si="15"/>
        <v>45777</v>
      </c>
      <c r="L26" s="71">
        <f t="shared" si="15"/>
        <v>45808</v>
      </c>
      <c r="M26" s="71">
        <f t="shared" si="15"/>
        <v>45838</v>
      </c>
      <c r="N26" s="71">
        <f t="shared" si="15"/>
        <v>45869</v>
      </c>
      <c r="O26" s="62" t="str">
        <f t="shared" si="15"/>
        <v>T12</v>
      </c>
      <c r="P26" s="62" t="str">
        <f t="shared" si="15"/>
        <v>T6</v>
      </c>
      <c r="Q26" s="62" t="str">
        <f t="shared" si="15"/>
        <v>T3</v>
      </c>
      <c r="R26" s="62" t="str">
        <f t="shared" si="15"/>
        <v>T1</v>
      </c>
    </row>
    <row r="27" spans="2:18" ht="15" customHeight="1" x14ac:dyDescent="0.15">
      <c r="B27" s="53" t="s">
        <v>57</v>
      </c>
      <c r="C27" s="72">
        <f>SUMIF('T12 Intake'!$Q$4:$Q$1000,$B27,'T12 Intake'!D$4:D$1000)</f>
        <v>0</v>
      </c>
      <c r="D27" s="72">
        <f>SUMIF('T12 Intake'!$Q$4:$Q$1000,$B27,'T12 Intake'!E$4:E$1000)</f>
        <v>0</v>
      </c>
      <c r="E27" s="72">
        <f>SUMIF('T12 Intake'!$Q$4:$Q$1000,$B27,'T12 Intake'!F$4:F$1000)</f>
        <v>0</v>
      </c>
      <c r="F27" s="72">
        <f>SUMIF('T12 Intake'!$Q$4:$Q$1000,$B27,'T12 Intake'!G$4:G$1000)</f>
        <v>0</v>
      </c>
      <c r="G27" s="72">
        <f>SUMIF('T12 Intake'!$Q$4:$Q$1000,$B27,'T12 Intake'!H$4:H$1000)</f>
        <v>0</v>
      </c>
      <c r="H27" s="72">
        <f>SUMIF('T12 Intake'!$Q$4:$Q$1000,$B27,'T12 Intake'!I$4:I$1000)</f>
        <v>0</v>
      </c>
      <c r="I27" s="72">
        <f>SUMIF('T12 Intake'!$Q$4:$Q$1000,$B27,'T12 Intake'!J$4:J$1000)</f>
        <v>0</v>
      </c>
      <c r="J27" s="72">
        <f>SUMIF('T12 Intake'!$Q$4:$Q$1000,$B27,'T12 Intake'!K$4:K$1000)</f>
        <v>0</v>
      </c>
      <c r="K27" s="72">
        <f>SUMIF('T12 Intake'!$Q$4:$Q$1000,$B27,'T12 Intake'!L$4:L$1000)</f>
        <v>0</v>
      </c>
      <c r="L27" s="72">
        <f>SUMIF('T12 Intake'!$Q$4:$Q$1000,$B27,'T12 Intake'!M$4:M$1000)</f>
        <v>0</v>
      </c>
      <c r="M27" s="72">
        <f>SUMIF('T12 Intake'!$Q$4:$Q$1000,$B27,'T12 Intake'!N$4:N$1000)</f>
        <v>0</v>
      </c>
      <c r="N27" s="72">
        <f>SUMIF('T12 Intake'!$Q$4:$Q$1000,$B27,'T12 Intake'!O$4:O$1000)</f>
        <v>0</v>
      </c>
      <c r="O27" s="79">
        <f>SUMIF('T12 Intake'!$Q$4:$Q$1000,$B27,'T12 Intake'!P$4:P$1000)</f>
        <v>0</v>
      </c>
      <c r="P27" s="79">
        <f t="shared" ref="P27:P32" si="16">SUM(I27:N27)*2</f>
        <v>0</v>
      </c>
      <c r="Q27" s="79">
        <f t="shared" ref="Q27:Q32" si="17">SUM(L27:N27)*4</f>
        <v>0</v>
      </c>
      <c r="R27" s="79">
        <f t="shared" ref="R27:R32" si="18">N27*12</f>
        <v>0</v>
      </c>
    </row>
    <row r="28" spans="2:18" ht="15" customHeight="1" x14ac:dyDescent="0.15">
      <c r="B28" s="53" t="s">
        <v>58</v>
      </c>
      <c r="C28" s="72">
        <f>SUMIF('T12 Intake'!$Q$4:$Q$1000,$B28,'T12 Intake'!D$4:D$1000)</f>
        <v>0</v>
      </c>
      <c r="D28" s="72">
        <f>SUMIF('T12 Intake'!$Q$4:$Q$1000,$B28,'T12 Intake'!E$4:E$1000)</f>
        <v>0</v>
      </c>
      <c r="E28" s="72">
        <f>SUMIF('T12 Intake'!$Q$4:$Q$1000,$B28,'T12 Intake'!F$4:F$1000)</f>
        <v>0</v>
      </c>
      <c r="F28" s="72">
        <f>SUMIF('T12 Intake'!$Q$4:$Q$1000,$B28,'T12 Intake'!G$4:G$1000)</f>
        <v>0</v>
      </c>
      <c r="G28" s="72">
        <f>SUMIF('T12 Intake'!$Q$4:$Q$1000,$B28,'T12 Intake'!H$4:H$1000)</f>
        <v>0</v>
      </c>
      <c r="H28" s="72">
        <f>SUMIF('T12 Intake'!$Q$4:$Q$1000,$B28,'T12 Intake'!I$4:I$1000)</f>
        <v>0</v>
      </c>
      <c r="I28" s="72">
        <f>SUMIF('T12 Intake'!$Q$4:$Q$1000,$B28,'T12 Intake'!J$4:J$1000)</f>
        <v>0</v>
      </c>
      <c r="J28" s="72">
        <f>SUMIF('T12 Intake'!$Q$4:$Q$1000,$B28,'T12 Intake'!K$4:K$1000)</f>
        <v>0</v>
      </c>
      <c r="K28" s="72">
        <f>SUMIF('T12 Intake'!$Q$4:$Q$1000,$B28,'T12 Intake'!L$4:L$1000)</f>
        <v>0</v>
      </c>
      <c r="L28" s="72">
        <f>SUMIF('T12 Intake'!$Q$4:$Q$1000,$B28,'T12 Intake'!M$4:M$1000)</f>
        <v>0</v>
      </c>
      <c r="M28" s="72">
        <f>SUMIF('T12 Intake'!$Q$4:$Q$1000,$B28,'T12 Intake'!N$4:N$1000)</f>
        <v>0</v>
      </c>
      <c r="N28" s="72">
        <f>SUMIF('T12 Intake'!$Q$4:$Q$1000,$B28,'T12 Intake'!O$4:O$1000)</f>
        <v>0</v>
      </c>
      <c r="O28" s="73">
        <f>SUMIF('T12 Intake'!$Q$4:$Q$1000,$B28,'T12 Intake'!P$4:P$1000)</f>
        <v>0</v>
      </c>
      <c r="P28" s="73">
        <f t="shared" si="16"/>
        <v>0</v>
      </c>
      <c r="Q28" s="73">
        <f t="shared" si="17"/>
        <v>0</v>
      </c>
      <c r="R28" s="73">
        <f t="shared" si="18"/>
        <v>0</v>
      </c>
    </row>
    <row r="29" spans="2:18" ht="15" customHeight="1" x14ac:dyDescent="0.15">
      <c r="B29" s="53" t="s">
        <v>59</v>
      </c>
      <c r="C29" s="72">
        <f>SUMIF('T12 Intake'!$Q$4:$Q$1000,$B29,'T12 Intake'!D$4:D$1000)</f>
        <v>0</v>
      </c>
      <c r="D29" s="72">
        <f>SUMIF('T12 Intake'!$Q$4:$Q$1000,$B29,'T12 Intake'!E$4:E$1000)</f>
        <v>0</v>
      </c>
      <c r="E29" s="72">
        <f>SUMIF('T12 Intake'!$Q$4:$Q$1000,$B29,'T12 Intake'!F$4:F$1000)</f>
        <v>0</v>
      </c>
      <c r="F29" s="72">
        <f>SUMIF('T12 Intake'!$Q$4:$Q$1000,$B29,'T12 Intake'!G$4:G$1000)</f>
        <v>0</v>
      </c>
      <c r="G29" s="72">
        <f>SUMIF('T12 Intake'!$Q$4:$Q$1000,$B29,'T12 Intake'!H$4:H$1000)</f>
        <v>0</v>
      </c>
      <c r="H29" s="72">
        <f>SUMIF('T12 Intake'!$Q$4:$Q$1000,$B29,'T12 Intake'!I$4:I$1000)</f>
        <v>0</v>
      </c>
      <c r="I29" s="72">
        <f>SUMIF('T12 Intake'!$Q$4:$Q$1000,$B29,'T12 Intake'!J$4:J$1000)</f>
        <v>0</v>
      </c>
      <c r="J29" s="72">
        <f>SUMIF('T12 Intake'!$Q$4:$Q$1000,$B29,'T12 Intake'!K$4:K$1000)</f>
        <v>0</v>
      </c>
      <c r="K29" s="72">
        <f>SUMIF('T12 Intake'!$Q$4:$Q$1000,$B29,'T12 Intake'!L$4:L$1000)</f>
        <v>0</v>
      </c>
      <c r="L29" s="72">
        <f>SUMIF('T12 Intake'!$Q$4:$Q$1000,$B29,'T12 Intake'!M$4:M$1000)</f>
        <v>0</v>
      </c>
      <c r="M29" s="72">
        <f>SUMIF('T12 Intake'!$Q$4:$Q$1000,$B29,'T12 Intake'!N$4:N$1000)</f>
        <v>0</v>
      </c>
      <c r="N29" s="72">
        <f>SUMIF('T12 Intake'!$Q$4:$Q$1000,$B29,'T12 Intake'!O$4:O$1000)</f>
        <v>0</v>
      </c>
      <c r="O29" s="73">
        <f>SUMIF('T12 Intake'!$Q$4:$Q$1000,$B29,'T12 Intake'!P$4:P$1000)</f>
        <v>0</v>
      </c>
      <c r="P29" s="73">
        <f t="shared" si="16"/>
        <v>0</v>
      </c>
      <c r="Q29" s="73">
        <f t="shared" si="17"/>
        <v>0</v>
      </c>
      <c r="R29" s="73">
        <f t="shared" si="18"/>
        <v>0</v>
      </c>
    </row>
    <row r="30" spans="2:18" ht="15" customHeight="1" x14ac:dyDescent="0.15">
      <c r="B30" s="53" t="s">
        <v>60</v>
      </c>
      <c r="C30" s="72">
        <f>SUMIF('T12 Intake'!$Q$4:$Q$1000,$B30,'T12 Intake'!D$4:D$1000)</f>
        <v>0</v>
      </c>
      <c r="D30" s="72">
        <f>SUMIF('T12 Intake'!$Q$4:$Q$1000,$B30,'T12 Intake'!E$4:E$1000)</f>
        <v>0</v>
      </c>
      <c r="E30" s="72">
        <f>SUMIF('T12 Intake'!$Q$4:$Q$1000,$B30,'T12 Intake'!F$4:F$1000)</f>
        <v>0</v>
      </c>
      <c r="F30" s="72">
        <f>SUMIF('T12 Intake'!$Q$4:$Q$1000,$B30,'T12 Intake'!G$4:G$1000)</f>
        <v>0</v>
      </c>
      <c r="G30" s="72">
        <f>SUMIF('T12 Intake'!$Q$4:$Q$1000,$B30,'T12 Intake'!H$4:H$1000)</f>
        <v>0</v>
      </c>
      <c r="H30" s="72">
        <f>SUMIF('T12 Intake'!$Q$4:$Q$1000,$B30,'T12 Intake'!I$4:I$1000)</f>
        <v>0</v>
      </c>
      <c r="I30" s="72">
        <f>SUMIF('T12 Intake'!$Q$4:$Q$1000,$B30,'T12 Intake'!J$4:J$1000)</f>
        <v>0</v>
      </c>
      <c r="J30" s="72">
        <f>SUMIF('T12 Intake'!$Q$4:$Q$1000,$B30,'T12 Intake'!K$4:K$1000)</f>
        <v>0</v>
      </c>
      <c r="K30" s="72">
        <f>SUMIF('T12 Intake'!$Q$4:$Q$1000,$B30,'T12 Intake'!L$4:L$1000)</f>
        <v>0</v>
      </c>
      <c r="L30" s="72">
        <f>SUMIF('T12 Intake'!$Q$4:$Q$1000,$B30,'T12 Intake'!M$4:M$1000)</f>
        <v>0</v>
      </c>
      <c r="M30" s="72">
        <f>SUMIF('T12 Intake'!$Q$4:$Q$1000,$B30,'T12 Intake'!N$4:N$1000)</f>
        <v>0</v>
      </c>
      <c r="N30" s="72">
        <f>SUMIF('T12 Intake'!$Q$4:$Q$1000,$B30,'T12 Intake'!O$4:O$1000)</f>
        <v>0</v>
      </c>
      <c r="O30" s="73">
        <f>SUMIF('T12 Intake'!$Q$4:$Q$1000,$B30,'T12 Intake'!P$4:P$1000)</f>
        <v>0</v>
      </c>
      <c r="P30" s="73">
        <f t="shared" si="16"/>
        <v>0</v>
      </c>
      <c r="Q30" s="73">
        <f t="shared" si="17"/>
        <v>0</v>
      </c>
      <c r="R30" s="73">
        <f t="shared" si="18"/>
        <v>0</v>
      </c>
    </row>
    <row r="31" spans="2:18" ht="15" customHeight="1" x14ac:dyDescent="0.15">
      <c r="B31" s="53" t="s">
        <v>61</v>
      </c>
      <c r="C31" s="72">
        <f>SUMIF('T12 Intake'!$Q$4:$Q$1000,$B31,'T12 Intake'!D$4:D$1000)</f>
        <v>0</v>
      </c>
      <c r="D31" s="72">
        <f>SUMIF('T12 Intake'!$Q$4:$Q$1000,$B31,'T12 Intake'!E$4:E$1000)</f>
        <v>0</v>
      </c>
      <c r="E31" s="72">
        <f>SUMIF('T12 Intake'!$Q$4:$Q$1000,$B31,'T12 Intake'!F$4:F$1000)</f>
        <v>0</v>
      </c>
      <c r="F31" s="72">
        <f>SUMIF('T12 Intake'!$Q$4:$Q$1000,$B31,'T12 Intake'!G$4:G$1000)</f>
        <v>0</v>
      </c>
      <c r="G31" s="72">
        <f>SUMIF('T12 Intake'!$Q$4:$Q$1000,$B31,'T12 Intake'!H$4:H$1000)</f>
        <v>0</v>
      </c>
      <c r="H31" s="72">
        <f>SUMIF('T12 Intake'!$Q$4:$Q$1000,$B31,'T12 Intake'!I$4:I$1000)</f>
        <v>0</v>
      </c>
      <c r="I31" s="72">
        <f>SUMIF('T12 Intake'!$Q$4:$Q$1000,$B31,'T12 Intake'!J$4:J$1000)</f>
        <v>0</v>
      </c>
      <c r="J31" s="72">
        <f>SUMIF('T12 Intake'!$Q$4:$Q$1000,$B31,'T12 Intake'!K$4:K$1000)</f>
        <v>0</v>
      </c>
      <c r="K31" s="72">
        <f>SUMIF('T12 Intake'!$Q$4:$Q$1000,$B31,'T12 Intake'!L$4:L$1000)</f>
        <v>0</v>
      </c>
      <c r="L31" s="72">
        <f>SUMIF('T12 Intake'!$Q$4:$Q$1000,$B31,'T12 Intake'!M$4:M$1000)</f>
        <v>0</v>
      </c>
      <c r="M31" s="72">
        <f>SUMIF('T12 Intake'!$Q$4:$Q$1000,$B31,'T12 Intake'!N$4:N$1000)</f>
        <v>0</v>
      </c>
      <c r="N31" s="72">
        <f>SUMIF('T12 Intake'!$Q$4:$Q$1000,$B31,'T12 Intake'!O$4:O$1000)</f>
        <v>0</v>
      </c>
      <c r="O31" s="73">
        <f>SUMIF('T12 Intake'!$Q$4:$Q$1000,$B31,'T12 Intake'!P$4:P$1000)</f>
        <v>0</v>
      </c>
      <c r="P31" s="73">
        <f t="shared" si="16"/>
        <v>0</v>
      </c>
      <c r="Q31" s="73">
        <f t="shared" si="17"/>
        <v>0</v>
      </c>
      <c r="R31" s="73">
        <f t="shared" si="18"/>
        <v>0</v>
      </c>
    </row>
    <row r="32" spans="2:18" ht="15" customHeight="1" x14ac:dyDescent="0.15">
      <c r="B32" s="53" t="s">
        <v>62</v>
      </c>
      <c r="C32" s="72">
        <f>SUMIF('T12 Intake'!$Q$4:$Q$1000,$B32,'T12 Intake'!D$4:D$1000)</f>
        <v>0</v>
      </c>
      <c r="D32" s="72">
        <f>SUMIF('T12 Intake'!$Q$4:$Q$1000,$B32,'T12 Intake'!E$4:E$1000)</f>
        <v>0</v>
      </c>
      <c r="E32" s="72">
        <f>SUMIF('T12 Intake'!$Q$4:$Q$1000,$B32,'T12 Intake'!F$4:F$1000)</f>
        <v>0</v>
      </c>
      <c r="F32" s="72">
        <f>SUMIF('T12 Intake'!$Q$4:$Q$1000,$B32,'T12 Intake'!G$4:G$1000)</f>
        <v>0</v>
      </c>
      <c r="G32" s="72">
        <f>SUMIF('T12 Intake'!$Q$4:$Q$1000,$B32,'T12 Intake'!H$4:H$1000)</f>
        <v>0</v>
      </c>
      <c r="H32" s="72">
        <f>SUMIF('T12 Intake'!$Q$4:$Q$1000,$B32,'T12 Intake'!I$4:I$1000)</f>
        <v>0</v>
      </c>
      <c r="I32" s="72">
        <f>SUMIF('T12 Intake'!$Q$4:$Q$1000,$B32,'T12 Intake'!J$4:J$1000)</f>
        <v>0</v>
      </c>
      <c r="J32" s="72">
        <f>SUMIF('T12 Intake'!$Q$4:$Q$1000,$B32,'T12 Intake'!K$4:K$1000)</f>
        <v>0</v>
      </c>
      <c r="K32" s="72">
        <f>SUMIF('T12 Intake'!$Q$4:$Q$1000,$B32,'T12 Intake'!L$4:L$1000)</f>
        <v>0</v>
      </c>
      <c r="L32" s="72">
        <f>SUMIF('T12 Intake'!$Q$4:$Q$1000,$B32,'T12 Intake'!M$4:M$1000)</f>
        <v>0</v>
      </c>
      <c r="M32" s="72">
        <f>SUMIF('T12 Intake'!$Q$4:$Q$1000,$B32,'T12 Intake'!N$4:N$1000)</f>
        <v>0</v>
      </c>
      <c r="N32" s="72">
        <f>SUMIF('T12 Intake'!$Q$4:$Q$1000,$B32,'T12 Intake'!O$4:O$1000)</f>
        <v>0</v>
      </c>
      <c r="O32" s="73">
        <f>SUMIF('T12 Intake'!$Q$4:$Q$1000,$B32,'T12 Intake'!P$4:P$1000)</f>
        <v>0</v>
      </c>
      <c r="P32" s="73">
        <f t="shared" si="16"/>
        <v>0</v>
      </c>
      <c r="Q32" s="73">
        <f t="shared" si="17"/>
        <v>0</v>
      </c>
      <c r="R32" s="73">
        <f t="shared" si="18"/>
        <v>0</v>
      </c>
    </row>
    <row r="33" spans="2:18" ht="15" customHeight="1" x14ac:dyDescent="0.15">
      <c r="B33" s="55" t="s">
        <v>83</v>
      </c>
      <c r="C33" s="74">
        <f>SUM(C27:C32)</f>
        <v>0</v>
      </c>
      <c r="D33" s="74">
        <f t="shared" ref="D33:R33" si="19">SUM(D27:D32)</f>
        <v>0</v>
      </c>
      <c r="E33" s="74">
        <f t="shared" si="19"/>
        <v>0</v>
      </c>
      <c r="F33" s="74">
        <f t="shared" si="19"/>
        <v>0</v>
      </c>
      <c r="G33" s="74">
        <f t="shared" si="19"/>
        <v>0</v>
      </c>
      <c r="H33" s="74">
        <f t="shared" si="19"/>
        <v>0</v>
      </c>
      <c r="I33" s="74">
        <f t="shared" si="19"/>
        <v>0</v>
      </c>
      <c r="J33" s="74">
        <f t="shared" si="19"/>
        <v>0</v>
      </c>
      <c r="K33" s="74">
        <f t="shared" si="19"/>
        <v>0</v>
      </c>
      <c r="L33" s="74">
        <f t="shared" si="19"/>
        <v>0</v>
      </c>
      <c r="M33" s="74">
        <f t="shared" si="19"/>
        <v>0</v>
      </c>
      <c r="N33" s="74">
        <f t="shared" si="19"/>
        <v>0</v>
      </c>
      <c r="O33" s="56">
        <f t="shared" si="19"/>
        <v>0</v>
      </c>
      <c r="P33" s="56">
        <f t="shared" si="19"/>
        <v>0</v>
      </c>
      <c r="Q33" s="56">
        <f t="shared" si="19"/>
        <v>0</v>
      </c>
      <c r="R33" s="56">
        <f t="shared" si="19"/>
        <v>0</v>
      </c>
    </row>
    <row r="34" spans="2:18" ht="15" customHeight="1" x14ac:dyDescent="0.15">
      <c r="B34" s="58" t="s">
        <v>84</v>
      </c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1"/>
      <c r="P34" s="81"/>
      <c r="Q34" s="81"/>
      <c r="R34" s="81"/>
    </row>
    <row r="35" spans="2:18" ht="15" customHeight="1" x14ac:dyDescent="0.15">
      <c r="B35" s="53" t="s">
        <v>63</v>
      </c>
      <c r="C35" s="72">
        <f>SUMIF('T12 Intake'!$Q$4:$Q$1000,$B35,'T12 Intake'!D$4:D$1000)</f>
        <v>0</v>
      </c>
      <c r="D35" s="72">
        <f>SUMIF('T12 Intake'!$Q$4:$Q$1000,$B35,'T12 Intake'!E$4:E$1000)</f>
        <v>0</v>
      </c>
      <c r="E35" s="72">
        <f>SUMIF('T12 Intake'!$Q$4:$Q$1000,$B35,'T12 Intake'!F$4:F$1000)</f>
        <v>0</v>
      </c>
      <c r="F35" s="72">
        <f>SUMIF('T12 Intake'!$Q$4:$Q$1000,$B35,'T12 Intake'!G$4:G$1000)</f>
        <v>0</v>
      </c>
      <c r="G35" s="72">
        <f>SUMIF('T12 Intake'!$Q$4:$Q$1000,$B35,'T12 Intake'!H$4:H$1000)</f>
        <v>0</v>
      </c>
      <c r="H35" s="72">
        <f>SUMIF('T12 Intake'!$Q$4:$Q$1000,$B35,'T12 Intake'!I$4:I$1000)</f>
        <v>0</v>
      </c>
      <c r="I35" s="72">
        <f>SUMIF('T12 Intake'!$Q$4:$Q$1000,$B35,'T12 Intake'!J$4:J$1000)</f>
        <v>0</v>
      </c>
      <c r="J35" s="72">
        <f>SUMIF('T12 Intake'!$Q$4:$Q$1000,$B35,'T12 Intake'!K$4:K$1000)</f>
        <v>0</v>
      </c>
      <c r="K35" s="72">
        <f>SUMIF('T12 Intake'!$Q$4:$Q$1000,$B35,'T12 Intake'!L$4:L$1000)</f>
        <v>0</v>
      </c>
      <c r="L35" s="72">
        <f>SUMIF('T12 Intake'!$Q$4:$Q$1000,$B35,'T12 Intake'!M$4:M$1000)</f>
        <v>0</v>
      </c>
      <c r="M35" s="72">
        <f>SUMIF('T12 Intake'!$Q$4:$Q$1000,$B35,'T12 Intake'!N$4:N$1000)</f>
        <v>0</v>
      </c>
      <c r="N35" s="72">
        <f>SUMIF('T12 Intake'!$Q$4:$Q$1000,$B35,'T12 Intake'!O$4:O$1000)</f>
        <v>0</v>
      </c>
      <c r="O35" s="73">
        <f>SUMIF('T12 Intake'!$Q$4:$Q$1000,$B35,'T12 Intake'!P$4:P$1000)</f>
        <v>0</v>
      </c>
      <c r="P35" s="73">
        <f t="shared" ref="P35:P39" si="20">SUM(I35:N35)*2</f>
        <v>0</v>
      </c>
      <c r="Q35" s="73">
        <f t="shared" ref="Q35:Q39" si="21">SUM(L35:N35)*4</f>
        <v>0</v>
      </c>
      <c r="R35" s="73">
        <f t="shared" ref="R35:R39" si="22">N35*12</f>
        <v>0</v>
      </c>
    </row>
    <row r="36" spans="2:18" ht="15" customHeight="1" x14ac:dyDescent="0.15">
      <c r="B36" s="64" t="e">
        <f>CONCATENATE("Mgmt Fees (",ROUND(O36/O24*100,2),"% or $",ROUND(O36/12/Units,0),"/unit/mo.)")</f>
        <v>#DIV/0!</v>
      </c>
      <c r="C36" s="72">
        <f>SUMIF('T12 Intake'!$Q$4:$Q$1000,'T12 Intake'!$S$26,'T12 Intake'!D$4:D$1000)</f>
        <v>0</v>
      </c>
      <c r="D36" s="72">
        <f>SUMIF('T12 Intake'!$Q$4:$Q$1000,'T12 Intake'!$S$26,'T12 Intake'!E$4:E$1000)</f>
        <v>0</v>
      </c>
      <c r="E36" s="72">
        <f>SUMIF('T12 Intake'!$Q$4:$Q$1000,'T12 Intake'!$S$26,'T12 Intake'!F$4:F$1000)</f>
        <v>0</v>
      </c>
      <c r="F36" s="72">
        <f>SUMIF('T12 Intake'!$Q$4:$Q$1000,'T12 Intake'!$S$26,'T12 Intake'!G$4:G$1000)</f>
        <v>0</v>
      </c>
      <c r="G36" s="72">
        <f>SUMIF('T12 Intake'!$Q$4:$Q$1000,'T12 Intake'!$S$26,'T12 Intake'!H$4:H$1000)</f>
        <v>0</v>
      </c>
      <c r="H36" s="72">
        <f>SUMIF('T12 Intake'!$Q$4:$Q$1000,'T12 Intake'!$S$26,'T12 Intake'!I$4:I$1000)</f>
        <v>0</v>
      </c>
      <c r="I36" s="72">
        <f>SUMIF('T12 Intake'!$Q$4:$Q$1000,'T12 Intake'!$S$26,'T12 Intake'!J$4:J$1000)</f>
        <v>0</v>
      </c>
      <c r="J36" s="72">
        <f>SUMIF('T12 Intake'!$Q$4:$Q$1000,'T12 Intake'!$S$26,'T12 Intake'!K$4:K$1000)</f>
        <v>0</v>
      </c>
      <c r="K36" s="72">
        <f>SUMIF('T12 Intake'!$Q$4:$Q$1000,'T12 Intake'!$S$26,'T12 Intake'!L$4:L$1000)</f>
        <v>0</v>
      </c>
      <c r="L36" s="72">
        <f>SUMIF('T12 Intake'!$Q$4:$Q$1000,'T12 Intake'!$S$26,'T12 Intake'!M$4:M$1000)</f>
        <v>0</v>
      </c>
      <c r="M36" s="72">
        <f>SUMIF('T12 Intake'!$Q$4:$Q$1000,'T12 Intake'!$S$26,'T12 Intake'!N$4:N$1000)</f>
        <v>0</v>
      </c>
      <c r="N36" s="72">
        <f>SUMIF('T12 Intake'!$Q$4:$Q$1000,'T12 Intake'!$S$26,'T12 Intake'!O$4:O$1000)</f>
        <v>0</v>
      </c>
      <c r="O36" s="73">
        <f>SUMIF('T12 Intake'!$Q$4:$Q$1000,'T12 Intake'!$S$26,'T12 Intake'!P$4:P$1000)</f>
        <v>0</v>
      </c>
      <c r="P36" s="73">
        <f t="shared" si="20"/>
        <v>0</v>
      </c>
      <c r="Q36" s="73">
        <f t="shared" si="21"/>
        <v>0</v>
      </c>
      <c r="R36" s="73">
        <f t="shared" si="22"/>
        <v>0</v>
      </c>
    </row>
    <row r="37" spans="2:18" ht="15" customHeight="1" x14ac:dyDescent="0.15">
      <c r="B37" s="64" t="e">
        <f>CONCATENATE('T12 Intake'!$S$27," ($",ROUND(O37/Units,0),"/unit)")</f>
        <v>#DIV/0!</v>
      </c>
      <c r="C37" s="72">
        <f>SUMIF('T12 Intake'!$Q$4:$Q$1000,'T12 Intake'!$S$27,'T12 Intake'!D$4:D$1000)</f>
        <v>0</v>
      </c>
      <c r="D37" s="72">
        <f>SUMIF('T12 Intake'!$Q$4:$Q$1000,'T12 Intake'!$S$27,'T12 Intake'!E$4:E$1000)</f>
        <v>0</v>
      </c>
      <c r="E37" s="72">
        <f>SUMIF('T12 Intake'!$Q$4:$Q$1000,'T12 Intake'!$S$27,'T12 Intake'!F$4:F$1000)</f>
        <v>0</v>
      </c>
      <c r="F37" s="72">
        <f>SUMIF('T12 Intake'!$Q$4:$Q$1000,'T12 Intake'!$S$27,'T12 Intake'!G$4:G$1000)</f>
        <v>0</v>
      </c>
      <c r="G37" s="72">
        <f>SUMIF('T12 Intake'!$Q$4:$Q$1000,'T12 Intake'!$S$27,'T12 Intake'!H$4:H$1000)</f>
        <v>0</v>
      </c>
      <c r="H37" s="72">
        <f>SUMIF('T12 Intake'!$Q$4:$Q$1000,'T12 Intake'!$S$27,'T12 Intake'!I$4:I$1000)</f>
        <v>0</v>
      </c>
      <c r="I37" s="72">
        <f>SUMIF('T12 Intake'!$Q$4:$Q$1000,'T12 Intake'!$S$27,'T12 Intake'!J$4:J$1000)</f>
        <v>0</v>
      </c>
      <c r="J37" s="72">
        <f>SUMIF('T12 Intake'!$Q$4:$Q$1000,'T12 Intake'!$S$27,'T12 Intake'!K$4:K$1000)</f>
        <v>0</v>
      </c>
      <c r="K37" s="72">
        <f>SUMIF('T12 Intake'!$Q$4:$Q$1000,'T12 Intake'!$S$27,'T12 Intake'!L$4:L$1000)</f>
        <v>0</v>
      </c>
      <c r="L37" s="72">
        <f>SUMIF('T12 Intake'!$Q$4:$Q$1000,'T12 Intake'!$S$27,'T12 Intake'!M$4:M$1000)</f>
        <v>0</v>
      </c>
      <c r="M37" s="72">
        <f>SUMIF('T12 Intake'!$Q$4:$Q$1000,'T12 Intake'!$S$27,'T12 Intake'!N$4:N$1000)</f>
        <v>0</v>
      </c>
      <c r="N37" s="72">
        <f>SUMIF('T12 Intake'!$Q$4:$Q$1000,'T12 Intake'!$S$27,'T12 Intake'!O$4:O$1000)</f>
        <v>0</v>
      </c>
      <c r="O37" s="73">
        <f>SUMIF('T12 Intake'!$Q$4:$Q$1000,'T12 Intake'!$S$27,'T12 Intake'!P$4:P$1000)</f>
        <v>0</v>
      </c>
      <c r="P37" s="73">
        <f t="shared" si="20"/>
        <v>0</v>
      </c>
      <c r="Q37" s="73">
        <f t="shared" si="21"/>
        <v>0</v>
      </c>
      <c r="R37" s="73">
        <f t="shared" si="22"/>
        <v>0</v>
      </c>
    </row>
    <row r="38" spans="2:18" ht="15" customHeight="1" x14ac:dyDescent="0.15">
      <c r="B38" s="53" t="s">
        <v>64</v>
      </c>
      <c r="C38" s="72">
        <f>SUMIF('T12 Intake'!$Q$4:$Q$1000,$B38,'T12 Intake'!D$4:D$1000)</f>
        <v>0</v>
      </c>
      <c r="D38" s="72">
        <f>SUMIF('T12 Intake'!$Q$4:$Q$1000,$B38,'T12 Intake'!E$4:E$1000)</f>
        <v>0</v>
      </c>
      <c r="E38" s="72">
        <f>SUMIF('T12 Intake'!$Q$4:$Q$1000,$B38,'T12 Intake'!F$4:F$1000)</f>
        <v>0</v>
      </c>
      <c r="F38" s="72">
        <f>SUMIF('T12 Intake'!$Q$4:$Q$1000,$B38,'T12 Intake'!G$4:G$1000)</f>
        <v>0</v>
      </c>
      <c r="G38" s="72">
        <f>SUMIF('T12 Intake'!$Q$4:$Q$1000,$B38,'T12 Intake'!H$4:H$1000)</f>
        <v>0</v>
      </c>
      <c r="H38" s="72">
        <f>SUMIF('T12 Intake'!$Q$4:$Q$1000,$B38,'T12 Intake'!I$4:I$1000)</f>
        <v>0</v>
      </c>
      <c r="I38" s="72">
        <f>SUMIF('T12 Intake'!$Q$4:$Q$1000,$B38,'T12 Intake'!J$4:J$1000)</f>
        <v>0</v>
      </c>
      <c r="J38" s="72">
        <f>SUMIF('T12 Intake'!$Q$4:$Q$1000,$B38,'T12 Intake'!K$4:K$1000)</f>
        <v>0</v>
      </c>
      <c r="K38" s="72">
        <f>SUMIF('T12 Intake'!$Q$4:$Q$1000,$B38,'T12 Intake'!L$4:L$1000)</f>
        <v>0</v>
      </c>
      <c r="L38" s="72">
        <f>SUMIF('T12 Intake'!$Q$4:$Q$1000,$B38,'T12 Intake'!M$4:M$1000)</f>
        <v>0</v>
      </c>
      <c r="M38" s="72">
        <f>SUMIF('T12 Intake'!$Q$4:$Q$1000,$B38,'T12 Intake'!N$4:N$1000)</f>
        <v>0</v>
      </c>
      <c r="N38" s="72">
        <f>SUMIF('T12 Intake'!$Q$4:$Q$1000,$B38,'T12 Intake'!O$4:O$1000)</f>
        <v>0</v>
      </c>
      <c r="O38" s="73">
        <f>SUMIF('T12 Intake'!$Q$4:$Q$1000,$B38,'T12 Intake'!P$4:P$1000)</f>
        <v>0</v>
      </c>
      <c r="P38" s="73">
        <f t="shared" si="20"/>
        <v>0</v>
      </c>
      <c r="Q38" s="73">
        <f t="shared" si="21"/>
        <v>0</v>
      </c>
      <c r="R38" s="73">
        <f t="shared" si="22"/>
        <v>0</v>
      </c>
    </row>
    <row r="39" spans="2:18" ht="15" customHeight="1" x14ac:dyDescent="0.15">
      <c r="B39" s="53" t="s">
        <v>65</v>
      </c>
      <c r="C39" s="72">
        <f>SUMIF('T12 Intake'!$Q$4:$Q$1000,$B39,'T12 Intake'!D$4:D$1000)</f>
        <v>0</v>
      </c>
      <c r="D39" s="72">
        <f>SUMIF('T12 Intake'!$Q$4:$Q$1000,$B39,'T12 Intake'!E$4:E$1000)</f>
        <v>0</v>
      </c>
      <c r="E39" s="72">
        <f>SUMIF('T12 Intake'!$Q$4:$Q$1000,$B39,'T12 Intake'!F$4:F$1000)</f>
        <v>0</v>
      </c>
      <c r="F39" s="72">
        <f>SUMIF('T12 Intake'!$Q$4:$Q$1000,$B39,'T12 Intake'!G$4:G$1000)</f>
        <v>0</v>
      </c>
      <c r="G39" s="72">
        <f>SUMIF('T12 Intake'!$Q$4:$Q$1000,$B39,'T12 Intake'!H$4:H$1000)</f>
        <v>0</v>
      </c>
      <c r="H39" s="72">
        <f>SUMIF('T12 Intake'!$Q$4:$Q$1000,$B39,'T12 Intake'!I$4:I$1000)</f>
        <v>0</v>
      </c>
      <c r="I39" s="72">
        <f>SUMIF('T12 Intake'!$Q$4:$Q$1000,$B39,'T12 Intake'!J$4:J$1000)</f>
        <v>0</v>
      </c>
      <c r="J39" s="72">
        <f>SUMIF('T12 Intake'!$Q$4:$Q$1000,$B39,'T12 Intake'!K$4:K$1000)</f>
        <v>0</v>
      </c>
      <c r="K39" s="72">
        <f>SUMIF('T12 Intake'!$Q$4:$Q$1000,$B39,'T12 Intake'!L$4:L$1000)</f>
        <v>0</v>
      </c>
      <c r="L39" s="72">
        <f>SUMIF('T12 Intake'!$Q$4:$Q$1000,$B39,'T12 Intake'!M$4:M$1000)</f>
        <v>0</v>
      </c>
      <c r="M39" s="72">
        <f>SUMIF('T12 Intake'!$Q$4:$Q$1000,$B39,'T12 Intake'!N$4:N$1000)</f>
        <v>0</v>
      </c>
      <c r="N39" s="72">
        <f>SUMIF('T12 Intake'!$Q$4:$Q$1000,$B39,'T12 Intake'!O$4:O$1000)</f>
        <v>0</v>
      </c>
      <c r="O39" s="73">
        <f>SUMIF('T12 Intake'!$Q$4:$Q$1000,$B39,'T12 Intake'!P$4:P$1000)</f>
        <v>0</v>
      </c>
      <c r="P39" s="73">
        <f t="shared" si="20"/>
        <v>0</v>
      </c>
      <c r="Q39" s="73">
        <f t="shared" si="21"/>
        <v>0</v>
      </c>
      <c r="R39" s="73">
        <f t="shared" si="22"/>
        <v>0</v>
      </c>
    </row>
    <row r="40" spans="2:18" ht="15" customHeight="1" x14ac:dyDescent="0.15">
      <c r="B40" s="55" t="s">
        <v>83</v>
      </c>
      <c r="C40" s="74">
        <f>SUM(C35:C39)</f>
        <v>0</v>
      </c>
      <c r="D40" s="74">
        <f t="shared" ref="D40:R40" si="23">SUM(D35:D39)</f>
        <v>0</v>
      </c>
      <c r="E40" s="74">
        <f t="shared" si="23"/>
        <v>0</v>
      </c>
      <c r="F40" s="74">
        <f t="shared" si="23"/>
        <v>0</v>
      </c>
      <c r="G40" s="74">
        <f t="shared" si="23"/>
        <v>0</v>
      </c>
      <c r="H40" s="74">
        <f t="shared" si="23"/>
        <v>0</v>
      </c>
      <c r="I40" s="74">
        <f t="shared" si="23"/>
        <v>0</v>
      </c>
      <c r="J40" s="74">
        <f t="shared" si="23"/>
        <v>0</v>
      </c>
      <c r="K40" s="74">
        <f t="shared" si="23"/>
        <v>0</v>
      </c>
      <c r="L40" s="74">
        <f t="shared" si="23"/>
        <v>0</v>
      </c>
      <c r="M40" s="74">
        <f t="shared" si="23"/>
        <v>0</v>
      </c>
      <c r="N40" s="74">
        <f t="shared" si="23"/>
        <v>0</v>
      </c>
      <c r="O40" s="56">
        <f t="shared" si="23"/>
        <v>0</v>
      </c>
      <c r="P40" s="56">
        <f t="shared" si="23"/>
        <v>0</v>
      </c>
      <c r="Q40" s="56">
        <f t="shared" si="23"/>
        <v>0</v>
      </c>
      <c r="R40" s="56">
        <f t="shared" si="23"/>
        <v>0</v>
      </c>
    </row>
    <row r="41" spans="2:18" ht="15" customHeight="1" x14ac:dyDescent="0.15">
      <c r="B41" s="53" t="s">
        <v>66</v>
      </c>
      <c r="C41" s="72">
        <f>SUMIF('T12 Intake'!$Q$4:$Q$1000,$B41,'T12 Intake'!D$4:D$1000)</f>
        <v>0</v>
      </c>
      <c r="D41" s="72">
        <f>SUMIF('T12 Intake'!$Q$4:$Q$1000,$B41,'T12 Intake'!E$4:E$1000)</f>
        <v>0</v>
      </c>
      <c r="E41" s="72">
        <f>SUMIF('T12 Intake'!$Q$4:$Q$1000,$B41,'T12 Intake'!F$4:F$1000)</f>
        <v>0</v>
      </c>
      <c r="F41" s="72">
        <f>SUMIF('T12 Intake'!$Q$4:$Q$1000,$B41,'T12 Intake'!G$4:G$1000)</f>
        <v>0</v>
      </c>
      <c r="G41" s="72">
        <f>SUMIF('T12 Intake'!$Q$4:$Q$1000,$B41,'T12 Intake'!H$4:H$1000)</f>
        <v>0</v>
      </c>
      <c r="H41" s="72">
        <f>SUMIF('T12 Intake'!$Q$4:$Q$1000,$B41,'T12 Intake'!I$4:I$1000)</f>
        <v>0</v>
      </c>
      <c r="I41" s="72">
        <f>SUMIF('T12 Intake'!$Q$4:$Q$1000,$B41,'T12 Intake'!J$4:J$1000)</f>
        <v>0</v>
      </c>
      <c r="J41" s="72">
        <f>SUMIF('T12 Intake'!$Q$4:$Q$1000,$B41,'T12 Intake'!K$4:K$1000)</f>
        <v>0</v>
      </c>
      <c r="K41" s="72">
        <f>SUMIF('T12 Intake'!$Q$4:$Q$1000,$B41,'T12 Intake'!L$4:L$1000)</f>
        <v>0</v>
      </c>
      <c r="L41" s="72">
        <f>SUMIF('T12 Intake'!$Q$4:$Q$1000,$B41,'T12 Intake'!M$4:M$1000)</f>
        <v>0</v>
      </c>
      <c r="M41" s="72">
        <f>SUMIF('T12 Intake'!$Q$4:$Q$1000,$B41,'T12 Intake'!N$4:N$1000)</f>
        <v>0</v>
      </c>
      <c r="N41" s="72">
        <f>SUMIF('T12 Intake'!$Q$4:$Q$1000,$B41,'T12 Intake'!O$4:O$1000)</f>
        <v>0</v>
      </c>
      <c r="O41" s="73">
        <f>SUMIF('T12 Intake'!$Q$4:$Q$1000,$B41,'T12 Intake'!P$4:P$1000)</f>
        <v>0</v>
      </c>
      <c r="P41" s="73">
        <f>SUM(I41:N41)*2</f>
        <v>0</v>
      </c>
      <c r="Q41" s="73">
        <f>SUM(L41:N41)*4</f>
        <v>0</v>
      </c>
      <c r="R41" s="73">
        <f>N41*12</f>
        <v>0</v>
      </c>
    </row>
    <row r="42" spans="2:18" ht="15" customHeight="1" x14ac:dyDescent="0.15">
      <c r="B42" s="59" t="s">
        <v>85</v>
      </c>
      <c r="C42" s="77">
        <f>SUM(C33,C40:C41)</f>
        <v>0</v>
      </c>
      <c r="D42" s="77">
        <f t="shared" ref="D42:R42" si="24">SUM(D33,D40:D41)</f>
        <v>0</v>
      </c>
      <c r="E42" s="77">
        <f t="shared" si="24"/>
        <v>0</v>
      </c>
      <c r="F42" s="77">
        <f t="shared" si="24"/>
        <v>0</v>
      </c>
      <c r="G42" s="77">
        <f t="shared" si="24"/>
        <v>0</v>
      </c>
      <c r="H42" s="77">
        <f t="shared" si="24"/>
        <v>0</v>
      </c>
      <c r="I42" s="77">
        <f t="shared" si="24"/>
        <v>0</v>
      </c>
      <c r="J42" s="77">
        <f t="shared" si="24"/>
        <v>0</v>
      </c>
      <c r="K42" s="77">
        <f t="shared" si="24"/>
        <v>0</v>
      </c>
      <c r="L42" s="77">
        <f t="shared" si="24"/>
        <v>0</v>
      </c>
      <c r="M42" s="77">
        <f t="shared" si="24"/>
        <v>0</v>
      </c>
      <c r="N42" s="77">
        <f t="shared" si="24"/>
        <v>0</v>
      </c>
      <c r="O42" s="60">
        <f t="shared" si="24"/>
        <v>0</v>
      </c>
      <c r="P42" s="60">
        <f t="shared" si="24"/>
        <v>0</v>
      </c>
      <c r="Q42" s="60">
        <f t="shared" si="24"/>
        <v>0</v>
      </c>
      <c r="R42" s="60">
        <f t="shared" si="24"/>
        <v>0</v>
      </c>
    </row>
    <row r="43" spans="2:18" ht="15" customHeight="1" x14ac:dyDescent="0.15">
      <c r="B43" s="64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54"/>
      <c r="P43" s="54"/>
      <c r="Q43" s="54"/>
      <c r="R43" s="54"/>
    </row>
    <row r="44" spans="2:18" ht="15" customHeight="1" x14ac:dyDescent="0.15">
      <c r="B44" s="65" t="s">
        <v>86</v>
      </c>
      <c r="C44" s="82">
        <f>C24-C42</f>
        <v>0</v>
      </c>
      <c r="D44" s="82">
        <f t="shared" ref="D44:R44" si="25">D24-D42</f>
        <v>0</v>
      </c>
      <c r="E44" s="82">
        <f t="shared" si="25"/>
        <v>0</v>
      </c>
      <c r="F44" s="82">
        <f t="shared" si="25"/>
        <v>0</v>
      </c>
      <c r="G44" s="82">
        <f t="shared" si="25"/>
        <v>0</v>
      </c>
      <c r="H44" s="82">
        <f t="shared" si="25"/>
        <v>0</v>
      </c>
      <c r="I44" s="82">
        <f t="shared" si="25"/>
        <v>0</v>
      </c>
      <c r="J44" s="82">
        <f t="shared" si="25"/>
        <v>0</v>
      </c>
      <c r="K44" s="82">
        <f t="shared" si="25"/>
        <v>0</v>
      </c>
      <c r="L44" s="82">
        <f t="shared" si="25"/>
        <v>0</v>
      </c>
      <c r="M44" s="82">
        <f t="shared" si="25"/>
        <v>0</v>
      </c>
      <c r="N44" s="82">
        <f t="shared" si="25"/>
        <v>0</v>
      </c>
      <c r="O44" s="66">
        <f t="shared" si="25"/>
        <v>0</v>
      </c>
      <c r="P44" s="66">
        <f t="shared" si="25"/>
        <v>0</v>
      </c>
      <c r="Q44" s="66">
        <f t="shared" si="25"/>
        <v>0</v>
      </c>
      <c r="R44" s="66">
        <f t="shared" si="25"/>
        <v>0</v>
      </c>
    </row>
    <row r="45" spans="2:18" ht="15" customHeight="1" x14ac:dyDescent="0.15">
      <c r="B45" s="53" t="s">
        <v>67</v>
      </c>
      <c r="C45" s="72">
        <f>SUMIF('T12 Intake'!$Q$4:$Q$1000,$B45,'T12 Intake'!D$4:D$1000)</f>
        <v>0</v>
      </c>
      <c r="D45" s="72">
        <f>SUMIF('T12 Intake'!$Q$4:$Q$1000,$B45,'T12 Intake'!E$4:E$1000)</f>
        <v>0</v>
      </c>
      <c r="E45" s="72">
        <f>SUMIF('T12 Intake'!$Q$4:$Q$1000,$B45,'T12 Intake'!F$4:F$1000)</f>
        <v>0</v>
      </c>
      <c r="F45" s="72">
        <f>SUMIF('T12 Intake'!$Q$4:$Q$1000,$B45,'T12 Intake'!G$4:G$1000)</f>
        <v>0</v>
      </c>
      <c r="G45" s="72">
        <f>SUMIF('T12 Intake'!$Q$4:$Q$1000,$B45,'T12 Intake'!H$4:H$1000)</f>
        <v>0</v>
      </c>
      <c r="H45" s="72">
        <f>SUMIF('T12 Intake'!$Q$4:$Q$1000,$B45,'T12 Intake'!I$4:I$1000)</f>
        <v>0</v>
      </c>
      <c r="I45" s="72">
        <f>SUMIF('T12 Intake'!$Q$4:$Q$1000,$B45,'T12 Intake'!J$4:J$1000)</f>
        <v>0</v>
      </c>
      <c r="J45" s="72">
        <f>SUMIF('T12 Intake'!$Q$4:$Q$1000,$B45,'T12 Intake'!K$4:K$1000)</f>
        <v>0</v>
      </c>
      <c r="K45" s="72">
        <f>SUMIF('T12 Intake'!$Q$4:$Q$1000,$B45,'T12 Intake'!L$4:L$1000)</f>
        <v>0</v>
      </c>
      <c r="L45" s="72">
        <f>SUMIF('T12 Intake'!$Q$4:$Q$1000,$B45,'T12 Intake'!M$4:M$1000)</f>
        <v>0</v>
      </c>
      <c r="M45" s="72">
        <f>SUMIF('T12 Intake'!$Q$4:$Q$1000,$B45,'T12 Intake'!N$4:N$1000)</f>
        <v>0</v>
      </c>
      <c r="N45" s="72">
        <f>SUMIF('T12 Intake'!$Q$4:$Q$1000,$B45,'T12 Intake'!O$4:O$1000)</f>
        <v>0</v>
      </c>
      <c r="O45" s="73">
        <f>SUMIF('T12 Intake'!$Q$4:$Q$1000,$B45,'T12 Intake'!P$4:P$1000)</f>
        <v>0</v>
      </c>
      <c r="P45" s="73">
        <f>SUM(I45:N45)*2</f>
        <v>0</v>
      </c>
      <c r="Q45" s="73">
        <f>SUM(L45:N45)*4</f>
        <v>0</v>
      </c>
      <c r="R45" s="73">
        <f>N45*12</f>
        <v>0</v>
      </c>
    </row>
    <row r="46" spans="2:18" ht="15" customHeight="1" x14ac:dyDescent="0.15">
      <c r="B46" s="67" t="s">
        <v>87</v>
      </c>
      <c r="C46" s="83">
        <f>C44-C45</f>
        <v>0</v>
      </c>
      <c r="D46" s="83">
        <f t="shared" ref="D46:R46" si="26">D44-D45</f>
        <v>0</v>
      </c>
      <c r="E46" s="83">
        <f t="shared" si="26"/>
        <v>0</v>
      </c>
      <c r="F46" s="83">
        <f t="shared" si="26"/>
        <v>0</v>
      </c>
      <c r="G46" s="83">
        <f t="shared" si="26"/>
        <v>0</v>
      </c>
      <c r="H46" s="83">
        <f t="shared" si="26"/>
        <v>0</v>
      </c>
      <c r="I46" s="83">
        <f t="shared" si="26"/>
        <v>0</v>
      </c>
      <c r="J46" s="83">
        <f t="shared" si="26"/>
        <v>0</v>
      </c>
      <c r="K46" s="83">
        <f t="shared" si="26"/>
        <v>0</v>
      </c>
      <c r="L46" s="83">
        <f t="shared" si="26"/>
        <v>0</v>
      </c>
      <c r="M46" s="83">
        <f t="shared" si="26"/>
        <v>0</v>
      </c>
      <c r="N46" s="83">
        <f t="shared" si="26"/>
        <v>0</v>
      </c>
      <c r="O46" s="68">
        <f t="shared" si="26"/>
        <v>0</v>
      </c>
      <c r="P46" s="66">
        <f t="shared" si="26"/>
        <v>0</v>
      </c>
      <c r="Q46" s="66">
        <f t="shared" si="26"/>
        <v>0</v>
      </c>
      <c r="R46" s="66">
        <f t="shared" si="26"/>
        <v>0</v>
      </c>
    </row>
    <row r="47" spans="2:18" ht="15" customHeight="1" x14ac:dyDescent="0.15">
      <c r="B47" s="53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8" ht="15" customHeight="1" x14ac:dyDescent="0.15">
      <c r="B48" s="58" t="s">
        <v>89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8" ht="15" customHeight="1" x14ac:dyDescent="0.15">
      <c r="B49" s="53" t="s">
        <v>68</v>
      </c>
      <c r="C49" s="72">
        <f>SUMIF('T12 Intake'!$Q$4:$Q$1000,$B49,'T12 Intake'!D$4:D$1000)</f>
        <v>0</v>
      </c>
      <c r="D49" s="72">
        <f>SUMIF('T12 Intake'!$Q$4:$Q$1000,$B49,'T12 Intake'!E$4:E$1000)</f>
        <v>0</v>
      </c>
      <c r="E49" s="72">
        <f>SUMIF('T12 Intake'!$Q$4:$Q$1000,$B49,'T12 Intake'!F$4:F$1000)</f>
        <v>0</v>
      </c>
      <c r="F49" s="72">
        <f>SUMIF('T12 Intake'!$Q$4:$Q$1000,$B49,'T12 Intake'!G$4:G$1000)</f>
        <v>0</v>
      </c>
      <c r="G49" s="72">
        <f>SUMIF('T12 Intake'!$Q$4:$Q$1000,$B49,'T12 Intake'!H$4:H$1000)</f>
        <v>0</v>
      </c>
      <c r="H49" s="72">
        <f>SUMIF('T12 Intake'!$Q$4:$Q$1000,$B49,'T12 Intake'!I$4:I$1000)</f>
        <v>0</v>
      </c>
      <c r="I49" s="72">
        <f>SUMIF('T12 Intake'!$Q$4:$Q$1000,$B49,'T12 Intake'!J$4:J$1000)</f>
        <v>0</v>
      </c>
      <c r="J49" s="72">
        <f>SUMIF('T12 Intake'!$Q$4:$Q$1000,$B49,'T12 Intake'!K$4:K$1000)</f>
        <v>0</v>
      </c>
      <c r="K49" s="72">
        <f>SUMIF('T12 Intake'!$Q$4:$Q$1000,$B49,'T12 Intake'!L$4:L$1000)</f>
        <v>0</v>
      </c>
      <c r="L49" s="72">
        <f>SUMIF('T12 Intake'!$Q$4:$Q$1000,$B49,'T12 Intake'!M$4:M$1000)</f>
        <v>0</v>
      </c>
      <c r="M49" s="72">
        <f>SUMIF('T12 Intake'!$Q$4:$Q$1000,$B49,'T12 Intake'!N$4:N$1000)</f>
        <v>0</v>
      </c>
      <c r="N49" s="72">
        <f>SUMIF('T12 Intake'!$Q$4:$Q$1000,$B49,'T12 Intake'!O$4:O$1000)</f>
        <v>0</v>
      </c>
      <c r="O49" s="63">
        <f>SUMIF('T12 Intake'!$Q$4:$Q$1000,$B49,'T12 Intake'!P$4:P$1000)</f>
        <v>0</v>
      </c>
      <c r="P49" s="84"/>
      <c r="Q49" s="84"/>
      <c r="R49" s="84"/>
    </row>
    <row r="50" spans="2:18" ht="15" customHeight="1" x14ac:dyDescent="0.15">
      <c r="B50" s="53" t="s">
        <v>69</v>
      </c>
      <c r="C50" s="72">
        <f>SUMIF('T12 Intake'!$Q$4:$Q$1000,$B50,'T12 Intake'!D$4:D$1000)</f>
        <v>0</v>
      </c>
      <c r="D50" s="72">
        <f>SUMIF('T12 Intake'!$Q$4:$Q$1000,$B50,'T12 Intake'!E$4:E$1000)</f>
        <v>0</v>
      </c>
      <c r="E50" s="72">
        <f>SUMIF('T12 Intake'!$Q$4:$Q$1000,$B50,'T12 Intake'!F$4:F$1000)</f>
        <v>0</v>
      </c>
      <c r="F50" s="72">
        <f>SUMIF('T12 Intake'!$Q$4:$Q$1000,$B50,'T12 Intake'!G$4:G$1000)</f>
        <v>0</v>
      </c>
      <c r="G50" s="72">
        <f>SUMIF('T12 Intake'!$Q$4:$Q$1000,$B50,'T12 Intake'!H$4:H$1000)</f>
        <v>0</v>
      </c>
      <c r="H50" s="72">
        <f>SUMIF('T12 Intake'!$Q$4:$Q$1000,$B50,'T12 Intake'!I$4:I$1000)</f>
        <v>0</v>
      </c>
      <c r="I50" s="72">
        <f>SUMIF('T12 Intake'!$Q$4:$Q$1000,$B50,'T12 Intake'!J$4:J$1000)</f>
        <v>0</v>
      </c>
      <c r="J50" s="72">
        <f>SUMIF('T12 Intake'!$Q$4:$Q$1000,$B50,'T12 Intake'!K$4:K$1000)</f>
        <v>0</v>
      </c>
      <c r="K50" s="72">
        <f>SUMIF('T12 Intake'!$Q$4:$Q$1000,$B50,'T12 Intake'!L$4:L$1000)</f>
        <v>0</v>
      </c>
      <c r="L50" s="72">
        <f>SUMIF('T12 Intake'!$Q$4:$Q$1000,$B50,'T12 Intake'!M$4:M$1000)</f>
        <v>0</v>
      </c>
      <c r="M50" s="72">
        <f>SUMIF('T12 Intake'!$Q$4:$Q$1000,$B50,'T12 Intake'!N$4:N$1000)</f>
        <v>0</v>
      </c>
      <c r="N50" s="72">
        <f>SUMIF('T12 Intake'!$Q$4:$Q$1000,$B50,'T12 Intake'!O$4:O$1000)</f>
        <v>0</v>
      </c>
      <c r="O50" s="54">
        <f>SUMIF('T12 Intake'!$Q$4:$Q$1000,$B50,'T12 Intake'!P$4:P$1000)</f>
        <v>0</v>
      </c>
      <c r="P50" s="84"/>
      <c r="Q50" s="84"/>
      <c r="R50" s="84"/>
    </row>
    <row r="51" spans="2:18" ht="15" customHeight="1" x14ac:dyDescent="0.15">
      <c r="B51" s="53" t="s">
        <v>70</v>
      </c>
      <c r="C51" s="72">
        <f>SUMIF('T12 Intake'!$Q$4:$Q$1000,$B51,'T12 Intake'!D$4:D$1000)</f>
        <v>0</v>
      </c>
      <c r="D51" s="72">
        <f>SUMIF('T12 Intake'!$Q$4:$Q$1000,$B51,'T12 Intake'!E$4:E$1000)</f>
        <v>0</v>
      </c>
      <c r="E51" s="72">
        <f>SUMIF('T12 Intake'!$Q$4:$Q$1000,$B51,'T12 Intake'!F$4:F$1000)</f>
        <v>0</v>
      </c>
      <c r="F51" s="72">
        <f>SUMIF('T12 Intake'!$Q$4:$Q$1000,$B51,'T12 Intake'!G$4:G$1000)</f>
        <v>0</v>
      </c>
      <c r="G51" s="72">
        <f>SUMIF('T12 Intake'!$Q$4:$Q$1000,$B51,'T12 Intake'!H$4:H$1000)</f>
        <v>0</v>
      </c>
      <c r="H51" s="72">
        <f>SUMIF('T12 Intake'!$Q$4:$Q$1000,$B51,'T12 Intake'!I$4:I$1000)</f>
        <v>0</v>
      </c>
      <c r="I51" s="72">
        <f>SUMIF('T12 Intake'!$Q$4:$Q$1000,$B51,'T12 Intake'!J$4:J$1000)</f>
        <v>0</v>
      </c>
      <c r="J51" s="72">
        <f>SUMIF('T12 Intake'!$Q$4:$Q$1000,$B51,'T12 Intake'!K$4:K$1000)</f>
        <v>0</v>
      </c>
      <c r="K51" s="72">
        <f>SUMIF('T12 Intake'!$Q$4:$Q$1000,$B51,'T12 Intake'!L$4:L$1000)</f>
        <v>0</v>
      </c>
      <c r="L51" s="72">
        <f>SUMIF('T12 Intake'!$Q$4:$Q$1000,$B51,'T12 Intake'!M$4:M$1000)</f>
        <v>0</v>
      </c>
      <c r="M51" s="72">
        <f>SUMIF('T12 Intake'!$Q$4:$Q$1000,$B51,'T12 Intake'!N$4:N$1000)</f>
        <v>0</v>
      </c>
      <c r="N51" s="72">
        <f>SUMIF('T12 Intake'!$Q$4:$Q$1000,$B51,'T12 Intake'!O$4:O$1000)</f>
        <v>0</v>
      </c>
      <c r="O51" s="54">
        <f>SUMIF('T12 Intake'!$Q$4:$Q$1000,$B51,'T12 Intake'!P$4:P$1000)</f>
        <v>0</v>
      </c>
      <c r="P51" s="84"/>
      <c r="Q51" s="84"/>
      <c r="R51" s="84"/>
    </row>
    <row r="52" spans="2:18" ht="15" customHeight="1" x14ac:dyDescent="0.15">
      <c r="B52" s="53" t="s">
        <v>71</v>
      </c>
      <c r="C52" s="72">
        <f>SUMIF('T12 Intake'!$Q$4:$Q$1000,$B52,'T12 Intake'!D$4:D$1000)</f>
        <v>0</v>
      </c>
      <c r="D52" s="72">
        <f>SUMIF('T12 Intake'!$Q$4:$Q$1000,$B52,'T12 Intake'!E$4:E$1000)</f>
        <v>0</v>
      </c>
      <c r="E52" s="72">
        <f>SUMIF('T12 Intake'!$Q$4:$Q$1000,$B52,'T12 Intake'!F$4:F$1000)</f>
        <v>0</v>
      </c>
      <c r="F52" s="72">
        <f>SUMIF('T12 Intake'!$Q$4:$Q$1000,$B52,'T12 Intake'!G$4:G$1000)</f>
        <v>0</v>
      </c>
      <c r="G52" s="72">
        <f>SUMIF('T12 Intake'!$Q$4:$Q$1000,$B52,'T12 Intake'!H$4:H$1000)</f>
        <v>0</v>
      </c>
      <c r="H52" s="72">
        <f>SUMIF('T12 Intake'!$Q$4:$Q$1000,$B52,'T12 Intake'!I$4:I$1000)</f>
        <v>0</v>
      </c>
      <c r="I52" s="72">
        <f>SUMIF('T12 Intake'!$Q$4:$Q$1000,$B52,'T12 Intake'!J$4:J$1000)</f>
        <v>0</v>
      </c>
      <c r="J52" s="72">
        <f>SUMIF('T12 Intake'!$Q$4:$Q$1000,$B52,'T12 Intake'!K$4:K$1000)</f>
        <v>0</v>
      </c>
      <c r="K52" s="72">
        <f>SUMIF('T12 Intake'!$Q$4:$Q$1000,$B52,'T12 Intake'!L$4:L$1000)</f>
        <v>0</v>
      </c>
      <c r="L52" s="72">
        <f>SUMIF('T12 Intake'!$Q$4:$Q$1000,$B52,'T12 Intake'!M$4:M$1000)</f>
        <v>0</v>
      </c>
      <c r="M52" s="72">
        <f>SUMIF('T12 Intake'!$Q$4:$Q$1000,$B52,'T12 Intake'!N$4:N$1000)</f>
        <v>0</v>
      </c>
      <c r="N52" s="72">
        <f>SUMIF('T12 Intake'!$Q$4:$Q$1000,$B52,'T12 Intake'!O$4:O$1000)</f>
        <v>0</v>
      </c>
      <c r="O52" s="54">
        <f>SUMIF('T12 Intake'!$Q$4:$Q$1000,$B52,'T12 Intake'!P$4:P$1000)</f>
        <v>0</v>
      </c>
      <c r="P52" s="84"/>
      <c r="Q52" s="84"/>
      <c r="R52" s="84"/>
    </row>
    <row r="53" spans="2:18" ht="15" customHeight="1" x14ac:dyDescent="0.15">
      <c r="B53" s="59" t="s">
        <v>90</v>
      </c>
      <c r="C53" s="77">
        <f>SUM(C49:C52)</f>
        <v>0</v>
      </c>
      <c r="D53" s="77">
        <f t="shared" ref="D53:O53" si="27">SUM(D49:D52)</f>
        <v>0</v>
      </c>
      <c r="E53" s="77">
        <f t="shared" si="27"/>
        <v>0</v>
      </c>
      <c r="F53" s="77">
        <f t="shared" si="27"/>
        <v>0</v>
      </c>
      <c r="G53" s="77">
        <f t="shared" si="27"/>
        <v>0</v>
      </c>
      <c r="H53" s="77">
        <f t="shared" si="27"/>
        <v>0</v>
      </c>
      <c r="I53" s="77">
        <f t="shared" si="27"/>
        <v>0</v>
      </c>
      <c r="J53" s="77">
        <f t="shared" si="27"/>
        <v>0</v>
      </c>
      <c r="K53" s="77">
        <f t="shared" si="27"/>
        <v>0</v>
      </c>
      <c r="L53" s="77">
        <f t="shared" si="27"/>
        <v>0</v>
      </c>
      <c r="M53" s="77">
        <f t="shared" si="27"/>
        <v>0</v>
      </c>
      <c r="N53" s="77">
        <f t="shared" si="27"/>
        <v>0</v>
      </c>
      <c r="O53" s="60">
        <f t="shared" si="27"/>
        <v>0</v>
      </c>
      <c r="P53" s="85"/>
      <c r="Q53" s="85"/>
      <c r="R53" s="85"/>
    </row>
    <row r="54" spans="2:18" ht="15" customHeight="1" x14ac:dyDescent="0.15">
      <c r="B54" s="64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54"/>
      <c r="P54" s="84"/>
      <c r="Q54" s="84"/>
      <c r="R54" s="84"/>
    </row>
    <row r="55" spans="2:18" ht="15" customHeight="1" x14ac:dyDescent="0.15">
      <c r="B55" s="69" t="s">
        <v>91</v>
      </c>
      <c r="C55" s="86">
        <f>C46-C53</f>
        <v>0</v>
      </c>
      <c r="D55" s="86">
        <f t="shared" ref="D55:O55" si="28">D46-D53</f>
        <v>0</v>
      </c>
      <c r="E55" s="86">
        <f t="shared" si="28"/>
        <v>0</v>
      </c>
      <c r="F55" s="86">
        <f t="shared" si="28"/>
        <v>0</v>
      </c>
      <c r="G55" s="86">
        <f t="shared" si="28"/>
        <v>0</v>
      </c>
      <c r="H55" s="86">
        <f t="shared" si="28"/>
        <v>0</v>
      </c>
      <c r="I55" s="86">
        <f t="shared" si="28"/>
        <v>0</v>
      </c>
      <c r="J55" s="86">
        <f t="shared" si="28"/>
        <v>0</v>
      </c>
      <c r="K55" s="86">
        <f t="shared" si="28"/>
        <v>0</v>
      </c>
      <c r="L55" s="86">
        <f t="shared" si="28"/>
        <v>0</v>
      </c>
      <c r="M55" s="86">
        <f t="shared" si="28"/>
        <v>0</v>
      </c>
      <c r="N55" s="86">
        <f t="shared" si="28"/>
        <v>0</v>
      </c>
      <c r="O55" s="87">
        <f t="shared" si="28"/>
        <v>0</v>
      </c>
      <c r="P55" s="85"/>
      <c r="Q55" s="85"/>
      <c r="R55" s="85"/>
    </row>
    <row r="56" spans="2:18" ht="15" customHeight="1" x14ac:dyDescent="0.15">
      <c r="B56" s="53" t="s">
        <v>72</v>
      </c>
      <c r="C56" s="72">
        <f>SUMIF('T12 Intake'!$Q$4:$Q$1000,$B56,'T12 Intake'!D$4:D$1000)</f>
        <v>0</v>
      </c>
      <c r="D56" s="72">
        <f>SUMIF('T12 Intake'!$Q$4:$Q$1000,$B56,'T12 Intake'!E$4:E$1000)</f>
        <v>0</v>
      </c>
      <c r="E56" s="72">
        <f>SUMIF('T12 Intake'!$Q$4:$Q$1000,$B56,'T12 Intake'!F$4:F$1000)</f>
        <v>0</v>
      </c>
      <c r="F56" s="72">
        <f>SUMIF('T12 Intake'!$Q$4:$Q$1000,$B56,'T12 Intake'!G$4:G$1000)</f>
        <v>0</v>
      </c>
      <c r="G56" s="72">
        <f>SUMIF('T12 Intake'!$Q$4:$Q$1000,$B56,'T12 Intake'!H$4:H$1000)</f>
        <v>0</v>
      </c>
      <c r="H56" s="72">
        <f>SUMIF('T12 Intake'!$Q$4:$Q$1000,$B56,'T12 Intake'!I$4:I$1000)</f>
        <v>0</v>
      </c>
      <c r="I56" s="72">
        <f>SUMIF('T12 Intake'!$Q$4:$Q$1000,$B56,'T12 Intake'!J$4:J$1000)</f>
        <v>0</v>
      </c>
      <c r="J56" s="72">
        <f>SUMIF('T12 Intake'!$Q$4:$Q$1000,$B56,'T12 Intake'!K$4:K$1000)</f>
        <v>0</v>
      </c>
      <c r="K56" s="72">
        <f>SUMIF('T12 Intake'!$Q$4:$Q$1000,$B56,'T12 Intake'!L$4:L$1000)</f>
        <v>0</v>
      </c>
      <c r="L56" s="72">
        <f>SUMIF('T12 Intake'!$Q$4:$Q$1000,$B56,'T12 Intake'!M$4:M$1000)</f>
        <v>0</v>
      </c>
      <c r="M56" s="72">
        <f>SUMIF('T12 Intake'!$Q$4:$Q$1000,$B56,'T12 Intake'!N$4:N$1000)</f>
        <v>0</v>
      </c>
      <c r="N56" s="72">
        <f>SUMIF('T12 Intake'!$Q$4:$Q$1000,$B56,'T12 Intake'!O$4:O$1000)</f>
        <v>0</v>
      </c>
      <c r="O56" s="54">
        <f>SUMIF('T12 Intake'!$Q$4:$Q$1000,$B56,'T12 Intake'!P$4:P$1000)</f>
        <v>0</v>
      </c>
      <c r="P56" s="84"/>
      <c r="Q56" s="84"/>
      <c r="R56" s="84"/>
    </row>
    <row r="57" spans="2:18" ht="15" customHeight="1" x14ac:dyDescent="0.15">
      <c r="B57" s="53" t="s">
        <v>73</v>
      </c>
      <c r="C57" s="72">
        <f>SUMIF('T12 Intake'!$Q$4:$Q$1000,$B57,'T12 Intake'!D$4:D$1000)</f>
        <v>0</v>
      </c>
      <c r="D57" s="72">
        <f>SUMIF('T12 Intake'!$Q$4:$Q$1000,$B57,'T12 Intake'!E$4:E$1000)</f>
        <v>0</v>
      </c>
      <c r="E57" s="72">
        <f>SUMIF('T12 Intake'!$Q$4:$Q$1000,$B57,'T12 Intake'!F$4:F$1000)</f>
        <v>0</v>
      </c>
      <c r="F57" s="72">
        <f>SUMIF('T12 Intake'!$Q$4:$Q$1000,$B57,'T12 Intake'!G$4:G$1000)</f>
        <v>0</v>
      </c>
      <c r="G57" s="72">
        <f>SUMIF('T12 Intake'!$Q$4:$Q$1000,$B57,'T12 Intake'!H$4:H$1000)</f>
        <v>0</v>
      </c>
      <c r="H57" s="72">
        <f>SUMIF('T12 Intake'!$Q$4:$Q$1000,$B57,'T12 Intake'!I$4:I$1000)</f>
        <v>0</v>
      </c>
      <c r="I57" s="72">
        <f>SUMIF('T12 Intake'!$Q$4:$Q$1000,$B57,'T12 Intake'!J$4:J$1000)</f>
        <v>0</v>
      </c>
      <c r="J57" s="72">
        <f>SUMIF('T12 Intake'!$Q$4:$Q$1000,$B57,'T12 Intake'!K$4:K$1000)</f>
        <v>0</v>
      </c>
      <c r="K57" s="72">
        <f>SUMIF('T12 Intake'!$Q$4:$Q$1000,$B57,'T12 Intake'!L$4:L$1000)</f>
        <v>0</v>
      </c>
      <c r="L57" s="72">
        <f>SUMIF('T12 Intake'!$Q$4:$Q$1000,$B57,'T12 Intake'!M$4:M$1000)</f>
        <v>0</v>
      </c>
      <c r="M57" s="72">
        <f>SUMIF('T12 Intake'!$Q$4:$Q$1000,$B57,'T12 Intake'!N$4:N$1000)</f>
        <v>0</v>
      </c>
      <c r="N57" s="72">
        <f>SUMIF('T12 Intake'!$Q$4:$Q$1000,$B57,'T12 Intake'!O$4:O$1000)</f>
        <v>0</v>
      </c>
      <c r="O57" s="54">
        <f>SUMIF('T12 Intake'!$Q$4:$Q$1000,$B57,'T12 Intake'!P$4:P$1000)</f>
        <v>0</v>
      </c>
      <c r="P57" s="84"/>
      <c r="Q57" s="84"/>
      <c r="R57" s="84"/>
    </row>
    <row r="58" spans="2:18" ht="15" customHeight="1" x14ac:dyDescent="0.15">
      <c r="B58" s="69" t="s">
        <v>92</v>
      </c>
      <c r="C58" s="86">
        <f>C55+C56-C57</f>
        <v>0</v>
      </c>
      <c r="D58" s="86">
        <f t="shared" ref="D58:O58" si="29">D55+D56-D57</f>
        <v>0</v>
      </c>
      <c r="E58" s="86">
        <f t="shared" si="29"/>
        <v>0</v>
      </c>
      <c r="F58" s="86">
        <f t="shared" si="29"/>
        <v>0</v>
      </c>
      <c r="G58" s="86">
        <f t="shared" si="29"/>
        <v>0</v>
      </c>
      <c r="H58" s="86">
        <f t="shared" si="29"/>
        <v>0</v>
      </c>
      <c r="I58" s="86">
        <f t="shared" si="29"/>
        <v>0</v>
      </c>
      <c r="J58" s="86">
        <f t="shared" si="29"/>
        <v>0</v>
      </c>
      <c r="K58" s="86">
        <f t="shared" si="29"/>
        <v>0</v>
      </c>
      <c r="L58" s="86">
        <f t="shared" si="29"/>
        <v>0</v>
      </c>
      <c r="M58" s="86">
        <f t="shared" si="29"/>
        <v>0</v>
      </c>
      <c r="N58" s="86">
        <f t="shared" si="29"/>
        <v>0</v>
      </c>
      <c r="O58" s="87">
        <f t="shared" si="29"/>
        <v>0</v>
      </c>
      <c r="P58" s="85"/>
      <c r="Q58" s="85"/>
      <c r="R58" s="85"/>
    </row>
    <row r="59" spans="2:18" x14ac:dyDescent="0.1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70">
        <f>O58-'T12 Intake'!$S$40</f>
        <v>0</v>
      </c>
    </row>
    <row r="60" spans="2:18" x14ac:dyDescent="0.1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50" t="str">
        <f>IF(ROUND(O59,3)=0,"MATCH","REVIEW")</f>
        <v>MATCH</v>
      </c>
    </row>
  </sheetData>
  <mergeCells count="1">
    <mergeCell ref="B3:O3"/>
  </mergeCells>
  <conditionalFormatting sqref="O60">
    <cfRule type="containsText" dxfId="1" priority="1" operator="containsText" text="MATCH">
      <formula>NOT(ISERROR(SEARCH("MATCH",O60)))</formula>
    </cfRule>
    <cfRule type="containsText" dxfId="0" priority="2" operator="containsText" text="REVIEW">
      <formula>NOT(ISERROR(SEARCH("REVIEW",O60)))</formula>
    </cfRule>
  </conditionalFormatting>
  <pageMargins left="0" right="0" top="0.25" bottom="0.25" header="0" footer="0"/>
  <pageSetup scale="64" orientation="landscape" r:id="rId1"/>
  <ignoredErrors>
    <ignoredError sqref="C8:O8 C22:O22 C40:R40 P8:R8 P22:R22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CA64B-28A9-4BB6-B4BA-5DB3C65E29B6}">
  <dimension ref="A1:T1019"/>
  <sheetViews>
    <sheetView showGridLines="0" workbookViewId="0"/>
  </sheetViews>
  <sheetFormatPr baseColWidth="10" defaultColWidth="9.1640625" defaultRowHeight="12" x14ac:dyDescent="0.15"/>
  <cols>
    <col min="1" max="1" width="2.6640625" style="3" customWidth="1"/>
    <col min="2" max="2" width="8.6640625" style="11" customWidth="1"/>
    <col min="3" max="3" width="45.6640625" style="11" customWidth="1"/>
    <col min="4" max="16" width="8.6640625" style="38" customWidth="1"/>
    <col min="17" max="17" width="28.6640625" style="11" customWidth="1"/>
    <col min="18" max="18" width="2.6640625" style="11" customWidth="1"/>
    <col min="19" max="19" width="28.6640625" style="11" customWidth="1"/>
    <col min="20" max="20" width="7.6640625" style="11" customWidth="1"/>
    <col min="21" max="16384" width="9.1640625" style="11"/>
  </cols>
  <sheetData>
    <row r="1" spans="1:20" s="3" customFormat="1" ht="15" customHeight="1" x14ac:dyDescent="0.15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1"/>
      <c r="S1" s="1"/>
      <c r="T1" s="1"/>
    </row>
    <row r="2" spans="1:20" s="3" customFormat="1" ht="17" thickBot="1" x14ac:dyDescent="0.2">
      <c r="A2" s="1"/>
      <c r="B2" s="300" t="str">
        <f>CONCATENATE('QuickVal Proforma'!C5," | ","T12 Intake")</f>
        <v xml:space="preserve"> | T12 Intake</v>
      </c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0"/>
      <c r="T2" s="300"/>
    </row>
    <row r="3" spans="1:20" ht="15" customHeight="1" x14ac:dyDescent="0.15">
      <c r="A3" s="1"/>
      <c r="B3" s="4" t="s">
        <v>0</v>
      </c>
      <c r="C3" s="5" t="s">
        <v>1</v>
      </c>
      <c r="D3" s="6">
        <f t="shared" ref="D3:M3" si="0">EOMONTH(E3,-1)</f>
        <v>45535</v>
      </c>
      <c r="E3" s="6">
        <f t="shared" si="0"/>
        <v>45565</v>
      </c>
      <c r="F3" s="6">
        <f t="shared" si="0"/>
        <v>45596</v>
      </c>
      <c r="G3" s="6">
        <f t="shared" si="0"/>
        <v>45626</v>
      </c>
      <c r="H3" s="6">
        <f t="shared" si="0"/>
        <v>45657</v>
      </c>
      <c r="I3" s="6">
        <f t="shared" si="0"/>
        <v>45688</v>
      </c>
      <c r="J3" s="6">
        <f t="shared" si="0"/>
        <v>45716</v>
      </c>
      <c r="K3" s="6">
        <f t="shared" si="0"/>
        <v>45747</v>
      </c>
      <c r="L3" s="6">
        <f t="shared" si="0"/>
        <v>45777</v>
      </c>
      <c r="M3" s="6">
        <f t="shared" si="0"/>
        <v>45808</v>
      </c>
      <c r="N3" s="6">
        <f>EOMONTH(O3,-1)</f>
        <v>45838</v>
      </c>
      <c r="O3" s="278">
        <v>45869</v>
      </c>
      <c r="P3" s="7" t="s">
        <v>2</v>
      </c>
      <c r="Q3" s="8" t="s">
        <v>74</v>
      </c>
      <c r="R3" s="9"/>
      <c r="S3" s="10" t="s">
        <v>3</v>
      </c>
      <c r="T3" s="10" t="s">
        <v>4</v>
      </c>
    </row>
    <row r="4" spans="1:20" ht="15" customHeight="1" x14ac:dyDescent="0.15">
      <c r="A4" s="1"/>
      <c r="B4" s="39"/>
      <c r="C4" s="40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2"/>
      <c r="P4" s="43"/>
      <c r="Q4" s="44"/>
      <c r="R4" s="12"/>
      <c r="S4" s="13" t="s">
        <v>42</v>
      </c>
      <c r="T4" s="13" t="s">
        <v>5</v>
      </c>
    </row>
    <row r="5" spans="1:20" ht="15" customHeight="1" x14ac:dyDescent="0.15">
      <c r="A5" s="1"/>
      <c r="B5" s="29"/>
      <c r="C5" s="45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7"/>
      <c r="P5" s="48"/>
      <c r="Q5" s="44"/>
      <c r="R5" s="14"/>
      <c r="S5" s="13" t="s">
        <v>43</v>
      </c>
      <c r="T5" s="13" t="s">
        <v>6</v>
      </c>
    </row>
    <row r="6" spans="1:20" ht="15" customHeight="1" x14ac:dyDescent="0.15">
      <c r="A6" s="1"/>
      <c r="B6" s="29"/>
      <c r="C6" s="45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7"/>
      <c r="P6" s="48"/>
      <c r="Q6" s="44"/>
      <c r="R6" s="15"/>
      <c r="S6" s="13" t="s">
        <v>44</v>
      </c>
      <c r="T6" s="13" t="s">
        <v>7</v>
      </c>
    </row>
    <row r="7" spans="1:20" ht="15" customHeight="1" x14ac:dyDescent="0.15">
      <c r="A7" s="1"/>
      <c r="B7" s="29"/>
      <c r="C7" s="45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7"/>
      <c r="P7" s="48"/>
      <c r="Q7" s="44"/>
      <c r="R7" s="16"/>
      <c r="S7" s="13" t="s">
        <v>45</v>
      </c>
      <c r="T7" s="13" t="s">
        <v>8</v>
      </c>
    </row>
    <row r="8" spans="1:20" ht="15" customHeight="1" x14ac:dyDescent="0.15">
      <c r="A8" s="1"/>
      <c r="B8" s="29"/>
      <c r="C8" s="45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7"/>
      <c r="P8" s="48"/>
      <c r="Q8" s="44"/>
      <c r="R8" s="16"/>
      <c r="S8" s="13" t="s">
        <v>46</v>
      </c>
      <c r="T8" s="13" t="s">
        <v>9</v>
      </c>
    </row>
    <row r="9" spans="1:20" ht="15" customHeight="1" x14ac:dyDescent="0.15">
      <c r="A9" s="1"/>
      <c r="B9" s="29"/>
      <c r="C9" s="45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7"/>
      <c r="P9" s="48"/>
      <c r="Q9" s="44"/>
      <c r="R9" s="16"/>
      <c r="S9" s="13" t="s">
        <v>47</v>
      </c>
      <c r="T9" s="13" t="s">
        <v>10</v>
      </c>
    </row>
    <row r="10" spans="1:20" ht="15" customHeight="1" x14ac:dyDescent="0.15">
      <c r="A10" s="1"/>
      <c r="B10" s="29"/>
      <c r="C10" s="45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7"/>
      <c r="P10" s="48"/>
      <c r="Q10" s="44"/>
      <c r="R10" s="16"/>
      <c r="S10" s="13" t="s">
        <v>48</v>
      </c>
      <c r="T10" s="13" t="s">
        <v>11</v>
      </c>
    </row>
    <row r="11" spans="1:20" ht="15" customHeight="1" x14ac:dyDescent="0.15">
      <c r="A11" s="1"/>
      <c r="B11" s="29"/>
      <c r="C11" s="45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7"/>
      <c r="P11" s="48"/>
      <c r="Q11" s="44"/>
      <c r="R11" s="17"/>
      <c r="S11" s="13" t="s">
        <v>49</v>
      </c>
      <c r="T11" s="13" t="s">
        <v>12</v>
      </c>
    </row>
    <row r="12" spans="1:20" ht="15" customHeight="1" x14ac:dyDescent="0.15">
      <c r="A12" s="1"/>
      <c r="B12" s="29"/>
      <c r="C12" s="45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7"/>
      <c r="P12" s="48"/>
      <c r="Q12" s="44"/>
      <c r="R12" s="18"/>
      <c r="S12" s="13" t="s">
        <v>50</v>
      </c>
      <c r="T12" s="13" t="s">
        <v>13</v>
      </c>
    </row>
    <row r="13" spans="1:20" ht="15" customHeight="1" x14ac:dyDescent="0.15">
      <c r="A13" s="1"/>
      <c r="B13" s="29"/>
      <c r="C13" s="45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7"/>
      <c r="P13" s="48"/>
      <c r="Q13" s="44"/>
      <c r="R13" s="17"/>
      <c r="S13" s="13" t="s">
        <v>51</v>
      </c>
      <c r="T13" s="13" t="s">
        <v>14</v>
      </c>
    </row>
    <row r="14" spans="1:20" ht="15" customHeight="1" x14ac:dyDescent="0.15">
      <c r="A14" s="1"/>
      <c r="B14" s="29"/>
      <c r="C14" s="45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7"/>
      <c r="P14" s="48"/>
      <c r="Q14" s="44"/>
      <c r="R14" s="19"/>
      <c r="S14" s="13" t="s">
        <v>52</v>
      </c>
      <c r="T14" s="13" t="s">
        <v>15</v>
      </c>
    </row>
    <row r="15" spans="1:20" ht="15" customHeight="1" x14ac:dyDescent="0.15">
      <c r="A15" s="1"/>
      <c r="B15" s="29"/>
      <c r="C15" s="45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7"/>
      <c r="P15" s="48"/>
      <c r="Q15" s="44"/>
      <c r="R15" s="17"/>
      <c r="S15" s="13" t="s">
        <v>53</v>
      </c>
      <c r="T15" s="13" t="s">
        <v>16</v>
      </c>
    </row>
    <row r="16" spans="1:20" ht="15" customHeight="1" x14ac:dyDescent="0.15">
      <c r="A16" s="1"/>
      <c r="B16" s="29"/>
      <c r="C16" s="45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7"/>
      <c r="P16" s="48"/>
      <c r="Q16" s="44"/>
      <c r="R16" s="16"/>
      <c r="S16" s="13" t="s">
        <v>54</v>
      </c>
      <c r="T16" s="13" t="s">
        <v>17</v>
      </c>
    </row>
    <row r="17" spans="1:20" ht="15" customHeight="1" x14ac:dyDescent="0.15">
      <c r="A17" s="1"/>
      <c r="B17" s="29"/>
      <c r="C17" s="45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7"/>
      <c r="P17" s="48"/>
      <c r="Q17" s="44"/>
      <c r="R17" s="17"/>
      <c r="S17" s="13" t="s">
        <v>55</v>
      </c>
      <c r="T17" s="13" t="s">
        <v>18</v>
      </c>
    </row>
    <row r="18" spans="1:20" ht="15" customHeight="1" x14ac:dyDescent="0.15">
      <c r="A18" s="1"/>
      <c r="B18" s="29"/>
      <c r="C18" s="45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7"/>
      <c r="P18" s="48"/>
      <c r="Q18" s="44"/>
      <c r="R18" s="18"/>
      <c r="S18" s="13" t="s">
        <v>56</v>
      </c>
      <c r="T18" s="13" t="s">
        <v>19</v>
      </c>
    </row>
    <row r="19" spans="1:20" ht="15" customHeight="1" x14ac:dyDescent="0.15">
      <c r="A19" s="1"/>
      <c r="B19" s="29"/>
      <c r="C19" s="45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7"/>
      <c r="P19" s="48"/>
      <c r="Q19" s="44"/>
      <c r="R19" s="17"/>
      <c r="S19" s="20" t="s">
        <v>57</v>
      </c>
      <c r="T19" s="20" t="s">
        <v>20</v>
      </c>
    </row>
    <row r="20" spans="1:20" ht="15" customHeight="1" x14ac:dyDescent="0.15">
      <c r="A20" s="1"/>
      <c r="B20" s="29"/>
      <c r="C20" s="45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7"/>
      <c r="P20" s="48"/>
      <c r="Q20" s="44"/>
      <c r="R20" s="19"/>
      <c r="S20" s="20" t="s">
        <v>58</v>
      </c>
      <c r="T20" s="20" t="s">
        <v>21</v>
      </c>
    </row>
    <row r="21" spans="1:20" ht="15" customHeight="1" x14ac:dyDescent="0.15">
      <c r="A21" s="1"/>
      <c r="B21" s="29"/>
      <c r="C21" s="45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7"/>
      <c r="P21" s="48"/>
      <c r="Q21" s="44"/>
      <c r="R21" s="17"/>
      <c r="S21" s="20" t="s">
        <v>59</v>
      </c>
      <c r="T21" s="20" t="s">
        <v>22</v>
      </c>
    </row>
    <row r="22" spans="1:20" ht="15" customHeight="1" x14ac:dyDescent="0.15">
      <c r="A22" s="1"/>
      <c r="B22" s="29"/>
      <c r="C22" s="45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7"/>
      <c r="P22" s="48"/>
      <c r="Q22" s="44"/>
      <c r="R22" s="19"/>
      <c r="S22" s="20" t="s">
        <v>60</v>
      </c>
      <c r="T22" s="20" t="s">
        <v>23</v>
      </c>
    </row>
    <row r="23" spans="1:20" ht="15" customHeight="1" x14ac:dyDescent="0.15">
      <c r="A23" s="1"/>
      <c r="B23" s="29"/>
      <c r="C23" s="45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7"/>
      <c r="P23" s="48"/>
      <c r="Q23" s="44"/>
      <c r="R23" s="16"/>
      <c r="S23" s="20" t="s">
        <v>61</v>
      </c>
      <c r="T23" s="20" t="s">
        <v>24</v>
      </c>
    </row>
    <row r="24" spans="1:20" ht="15" customHeight="1" x14ac:dyDescent="0.15">
      <c r="A24" s="1"/>
      <c r="B24" s="29"/>
      <c r="C24" s="45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7"/>
      <c r="P24" s="48"/>
      <c r="Q24" s="44"/>
      <c r="R24" s="16"/>
      <c r="S24" s="20" t="s">
        <v>62</v>
      </c>
      <c r="T24" s="20" t="s">
        <v>25</v>
      </c>
    </row>
    <row r="25" spans="1:20" ht="15" customHeight="1" x14ac:dyDescent="0.15">
      <c r="A25" s="1"/>
      <c r="B25" s="17"/>
      <c r="C25" s="21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3"/>
      <c r="P25" s="24"/>
      <c r="Q25" s="25"/>
      <c r="R25" s="17"/>
      <c r="S25" s="20" t="s">
        <v>63</v>
      </c>
      <c r="T25" s="20" t="s">
        <v>26</v>
      </c>
    </row>
    <row r="26" spans="1:20" ht="15" customHeight="1" x14ac:dyDescent="0.15">
      <c r="A26" s="1"/>
      <c r="B26" s="17"/>
      <c r="C26" s="21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3"/>
      <c r="P26" s="24"/>
      <c r="Q26" s="25"/>
      <c r="R26" s="18"/>
      <c r="S26" s="26" t="s">
        <v>27</v>
      </c>
      <c r="T26" s="20" t="s">
        <v>28</v>
      </c>
    </row>
    <row r="27" spans="1:20" ht="15" customHeight="1" x14ac:dyDescent="0.15">
      <c r="A27" s="1"/>
      <c r="B27" s="17"/>
      <c r="C27" s="21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3"/>
      <c r="P27" s="24"/>
      <c r="Q27" s="25"/>
      <c r="R27" s="17"/>
      <c r="S27" s="26" t="s">
        <v>29</v>
      </c>
      <c r="T27" s="20" t="s">
        <v>30</v>
      </c>
    </row>
    <row r="28" spans="1:20" ht="15" customHeight="1" x14ac:dyDescent="0.15">
      <c r="A28" s="1"/>
      <c r="B28" s="17"/>
      <c r="C28" s="21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3"/>
      <c r="P28" s="24"/>
      <c r="Q28" s="25"/>
      <c r="R28" s="18"/>
      <c r="S28" s="20" t="s">
        <v>64</v>
      </c>
      <c r="T28" s="20" t="s">
        <v>31</v>
      </c>
    </row>
    <row r="29" spans="1:20" ht="15" customHeight="1" x14ac:dyDescent="0.15">
      <c r="A29" s="1"/>
      <c r="B29" s="17"/>
      <c r="C29" s="21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3"/>
      <c r="P29" s="24"/>
      <c r="Q29" s="25"/>
      <c r="R29" s="17"/>
      <c r="S29" s="20" t="s">
        <v>65</v>
      </c>
      <c r="T29" s="20" t="s">
        <v>32</v>
      </c>
    </row>
    <row r="30" spans="1:20" ht="15" customHeight="1" x14ac:dyDescent="0.15">
      <c r="A30" s="1"/>
      <c r="B30" s="17"/>
      <c r="C30" s="21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3"/>
      <c r="P30" s="24"/>
      <c r="Q30" s="25"/>
      <c r="R30" s="19"/>
      <c r="S30" s="20" t="s">
        <v>66</v>
      </c>
      <c r="T30" s="20" t="s">
        <v>33</v>
      </c>
    </row>
    <row r="31" spans="1:20" ht="15" customHeight="1" x14ac:dyDescent="0.15">
      <c r="A31" s="1"/>
      <c r="B31" s="17"/>
      <c r="C31" s="21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3"/>
      <c r="P31" s="24"/>
      <c r="Q31" s="25"/>
      <c r="R31" s="16"/>
      <c r="S31" s="20" t="s">
        <v>67</v>
      </c>
      <c r="T31" s="20" t="s">
        <v>34</v>
      </c>
    </row>
    <row r="32" spans="1:20" ht="15" customHeight="1" x14ac:dyDescent="0.15">
      <c r="A32" s="1"/>
      <c r="B32" s="17"/>
      <c r="C32" s="21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3"/>
      <c r="P32" s="24"/>
      <c r="Q32" s="25"/>
      <c r="R32" s="16"/>
      <c r="S32" s="27" t="s">
        <v>68</v>
      </c>
      <c r="T32" s="27" t="s">
        <v>35</v>
      </c>
    </row>
    <row r="33" spans="1:20" ht="15" customHeight="1" x14ac:dyDescent="0.15">
      <c r="A33" s="1"/>
      <c r="B33" s="17"/>
      <c r="C33" s="21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3"/>
      <c r="P33" s="24"/>
      <c r="Q33" s="25"/>
      <c r="R33" s="16"/>
      <c r="S33" s="27" t="s">
        <v>69</v>
      </c>
      <c r="T33" s="27" t="s">
        <v>36</v>
      </c>
    </row>
    <row r="34" spans="1:20" ht="15" customHeight="1" x14ac:dyDescent="0.15">
      <c r="A34" s="1"/>
      <c r="B34" s="17"/>
      <c r="C34" s="21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3"/>
      <c r="P34" s="24"/>
      <c r="Q34" s="25"/>
      <c r="R34" s="17"/>
      <c r="S34" s="27" t="s">
        <v>70</v>
      </c>
      <c r="T34" s="27" t="s">
        <v>37</v>
      </c>
    </row>
    <row r="35" spans="1:20" ht="15" customHeight="1" x14ac:dyDescent="0.15">
      <c r="A35" s="1"/>
      <c r="B35" s="17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3"/>
      <c r="P35" s="24"/>
      <c r="Q35" s="25"/>
      <c r="R35" s="18"/>
      <c r="S35" s="27" t="s">
        <v>71</v>
      </c>
      <c r="T35" s="27" t="s">
        <v>38</v>
      </c>
    </row>
    <row r="36" spans="1:20" ht="15" customHeight="1" x14ac:dyDescent="0.15">
      <c r="A36" s="1"/>
      <c r="B36" s="17"/>
      <c r="C36" s="21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3"/>
      <c r="P36" s="24"/>
      <c r="Q36" s="25"/>
      <c r="R36" s="17"/>
      <c r="S36" s="27" t="s">
        <v>72</v>
      </c>
      <c r="T36" s="27" t="s">
        <v>39</v>
      </c>
    </row>
    <row r="37" spans="1:20" ht="15" customHeight="1" x14ac:dyDescent="0.15">
      <c r="A37" s="1"/>
      <c r="B37" s="17"/>
      <c r="C37" s="21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3"/>
      <c r="P37" s="24"/>
      <c r="Q37" s="25"/>
      <c r="R37" s="19"/>
      <c r="S37" s="27" t="s">
        <v>73</v>
      </c>
      <c r="T37" s="27" t="s">
        <v>40</v>
      </c>
    </row>
    <row r="38" spans="1:20" ht="15" customHeight="1" x14ac:dyDescent="0.15">
      <c r="A38" s="1"/>
      <c r="B38" s="17"/>
      <c r="C38" s="21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3"/>
      <c r="P38" s="24"/>
      <c r="Q38" s="25"/>
      <c r="R38" s="16"/>
    </row>
    <row r="39" spans="1:20" ht="15" customHeight="1" x14ac:dyDescent="0.15">
      <c r="A39" s="1"/>
      <c r="B39" s="17"/>
      <c r="C39" s="21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3"/>
      <c r="P39" s="24"/>
      <c r="Q39" s="25"/>
      <c r="R39" s="16"/>
      <c r="S39" s="49" t="s">
        <v>41</v>
      </c>
    </row>
    <row r="40" spans="1:20" ht="15" customHeight="1" x14ac:dyDescent="0.15">
      <c r="A40" s="1"/>
      <c r="B40" s="17"/>
      <c r="C40" s="21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3"/>
      <c r="P40" s="24"/>
      <c r="Q40" s="25"/>
      <c r="R40" s="16"/>
      <c r="S40" s="279"/>
    </row>
    <row r="41" spans="1:20" ht="15" customHeight="1" x14ac:dyDescent="0.15">
      <c r="A41" s="1"/>
      <c r="B41" s="17"/>
      <c r="C41" s="21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3"/>
      <c r="P41" s="24"/>
      <c r="Q41" s="25"/>
      <c r="R41" s="16"/>
    </row>
    <row r="42" spans="1:20" ht="15" customHeight="1" x14ac:dyDescent="0.15">
      <c r="A42" s="1"/>
      <c r="B42" s="17"/>
      <c r="C42" s="21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3"/>
      <c r="P42" s="24"/>
      <c r="Q42" s="25"/>
      <c r="R42" s="28"/>
    </row>
    <row r="43" spans="1:20" ht="15" customHeight="1" x14ac:dyDescent="0.15">
      <c r="A43" s="1"/>
      <c r="B43" s="17"/>
      <c r="C43" s="21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3"/>
      <c r="P43" s="24"/>
      <c r="Q43" s="25"/>
      <c r="R43" s="29"/>
    </row>
    <row r="44" spans="1:20" ht="15" customHeight="1" x14ac:dyDescent="0.15">
      <c r="A44" s="1"/>
      <c r="B44" s="17"/>
      <c r="C44" s="21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3"/>
      <c r="P44" s="24"/>
      <c r="Q44" s="25"/>
      <c r="R44" s="30"/>
    </row>
    <row r="45" spans="1:20" ht="15" customHeight="1" x14ac:dyDescent="0.15">
      <c r="A45" s="1"/>
      <c r="B45" s="17"/>
      <c r="C45" s="21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3"/>
      <c r="P45" s="24"/>
      <c r="Q45" s="25"/>
      <c r="R45" s="29"/>
    </row>
    <row r="46" spans="1:20" ht="15" customHeight="1" x14ac:dyDescent="0.15">
      <c r="A46" s="1"/>
      <c r="B46" s="17"/>
      <c r="C46" s="21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3"/>
      <c r="P46" s="24"/>
      <c r="Q46" s="25"/>
      <c r="R46" s="30"/>
    </row>
    <row r="47" spans="1:20" ht="15" customHeight="1" x14ac:dyDescent="0.15">
      <c r="A47" s="1"/>
      <c r="B47" s="17"/>
      <c r="C47" s="21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3"/>
      <c r="P47" s="24"/>
      <c r="Q47" s="25"/>
      <c r="R47" s="29"/>
    </row>
    <row r="48" spans="1:20" ht="15" customHeight="1" x14ac:dyDescent="0.15">
      <c r="A48" s="1"/>
      <c r="B48" s="17"/>
      <c r="C48" s="21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3"/>
      <c r="P48" s="24"/>
      <c r="Q48" s="25"/>
      <c r="R48" s="31"/>
    </row>
    <row r="49" spans="1:18" ht="15" customHeight="1" x14ac:dyDescent="0.15">
      <c r="A49" s="1"/>
      <c r="B49" s="17"/>
      <c r="C49" s="21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3"/>
      <c r="P49" s="24"/>
      <c r="Q49" s="25"/>
      <c r="R49" s="29"/>
    </row>
    <row r="50" spans="1:18" ht="15" customHeight="1" x14ac:dyDescent="0.15">
      <c r="A50" s="1"/>
      <c r="B50" s="17"/>
      <c r="C50" s="21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3"/>
      <c r="P50" s="24"/>
      <c r="Q50" s="25"/>
      <c r="R50" s="31"/>
    </row>
    <row r="51" spans="1:18" ht="15" customHeight="1" x14ac:dyDescent="0.15">
      <c r="A51" s="1"/>
      <c r="B51" s="17"/>
      <c r="C51" s="21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3"/>
      <c r="P51" s="24"/>
      <c r="Q51" s="25"/>
      <c r="R51" s="29"/>
    </row>
    <row r="52" spans="1:18" ht="15" customHeight="1" x14ac:dyDescent="0.15">
      <c r="A52" s="1"/>
      <c r="B52" s="17"/>
      <c r="C52" s="21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3"/>
      <c r="P52" s="24"/>
      <c r="Q52" s="25"/>
      <c r="R52" s="31"/>
    </row>
    <row r="53" spans="1:18" ht="15" customHeight="1" x14ac:dyDescent="0.15">
      <c r="A53" s="1"/>
      <c r="B53" s="17"/>
      <c r="C53" s="21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3"/>
      <c r="P53" s="24"/>
      <c r="Q53" s="25"/>
      <c r="R53" s="29"/>
    </row>
    <row r="54" spans="1:18" ht="15" customHeight="1" x14ac:dyDescent="0.15">
      <c r="A54" s="1"/>
      <c r="B54" s="17"/>
      <c r="C54" s="21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3"/>
      <c r="P54" s="24"/>
      <c r="Q54" s="25"/>
      <c r="R54" s="31"/>
    </row>
    <row r="55" spans="1:18" ht="15" customHeight="1" x14ac:dyDescent="0.15">
      <c r="A55" s="1"/>
      <c r="B55" s="17"/>
      <c r="C55" s="21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3"/>
      <c r="P55" s="24"/>
      <c r="Q55" s="25"/>
      <c r="R55" s="29"/>
    </row>
    <row r="56" spans="1:18" ht="15" customHeight="1" x14ac:dyDescent="0.15">
      <c r="A56" s="1"/>
      <c r="B56" s="17"/>
      <c r="C56" s="21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3"/>
      <c r="P56" s="24"/>
      <c r="Q56" s="25"/>
      <c r="R56" s="31"/>
    </row>
    <row r="57" spans="1:18" ht="15" customHeight="1" x14ac:dyDescent="0.15">
      <c r="A57" s="1"/>
      <c r="B57" s="17"/>
      <c r="C57" s="21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3"/>
      <c r="P57" s="24"/>
      <c r="Q57" s="25"/>
      <c r="R57" s="29"/>
    </row>
    <row r="58" spans="1:18" ht="15" customHeight="1" x14ac:dyDescent="0.15">
      <c r="A58" s="1"/>
      <c r="B58" s="17"/>
      <c r="C58" s="21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3"/>
      <c r="P58" s="24"/>
      <c r="Q58" s="25"/>
      <c r="R58" s="28"/>
    </row>
    <row r="59" spans="1:18" ht="15" customHeight="1" x14ac:dyDescent="0.15">
      <c r="A59" s="1"/>
      <c r="B59" s="17"/>
      <c r="C59" s="21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3"/>
      <c r="P59" s="24"/>
      <c r="Q59" s="25"/>
      <c r="R59" s="28"/>
    </row>
    <row r="60" spans="1:18" ht="15" customHeight="1" x14ac:dyDescent="0.15">
      <c r="A60" s="1"/>
      <c r="B60" s="17"/>
      <c r="C60" s="21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3"/>
      <c r="P60" s="24"/>
      <c r="Q60" s="25"/>
      <c r="R60" s="28"/>
    </row>
    <row r="61" spans="1:18" ht="15" customHeight="1" x14ac:dyDescent="0.15">
      <c r="A61" s="1"/>
      <c r="B61" s="17"/>
      <c r="C61" s="21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3"/>
      <c r="P61" s="24"/>
      <c r="Q61" s="25"/>
      <c r="R61" s="28"/>
    </row>
    <row r="62" spans="1:18" ht="15" customHeight="1" x14ac:dyDescent="0.15">
      <c r="A62" s="1"/>
      <c r="B62" s="17"/>
      <c r="C62" s="21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3"/>
      <c r="P62" s="24"/>
      <c r="Q62" s="25"/>
      <c r="R62" s="28"/>
    </row>
    <row r="63" spans="1:18" ht="15" customHeight="1" x14ac:dyDescent="0.15">
      <c r="A63" s="1"/>
      <c r="B63" s="17"/>
      <c r="C63" s="21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3"/>
      <c r="P63" s="24"/>
      <c r="Q63" s="25"/>
      <c r="R63" s="29"/>
    </row>
    <row r="64" spans="1:18" ht="15" customHeight="1" x14ac:dyDescent="0.15">
      <c r="A64" s="1"/>
      <c r="B64" s="17"/>
      <c r="C64" s="21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3"/>
      <c r="P64" s="24"/>
      <c r="Q64" s="25"/>
      <c r="R64" s="30"/>
    </row>
    <row r="65" spans="1:18" ht="15" customHeight="1" x14ac:dyDescent="0.15">
      <c r="A65" s="1"/>
      <c r="B65" s="17"/>
      <c r="C65" s="21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3"/>
      <c r="P65" s="24"/>
      <c r="Q65" s="25"/>
      <c r="R65" s="29"/>
    </row>
    <row r="66" spans="1:18" ht="15" customHeight="1" x14ac:dyDescent="0.15">
      <c r="A66" s="1"/>
      <c r="B66" s="17"/>
      <c r="C66" s="21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3"/>
      <c r="P66" s="24"/>
      <c r="Q66" s="25"/>
      <c r="R66" s="31"/>
    </row>
    <row r="67" spans="1:18" ht="15" customHeight="1" x14ac:dyDescent="0.15">
      <c r="A67" s="1"/>
      <c r="B67" s="17"/>
      <c r="C67" s="21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3"/>
      <c r="P67" s="24"/>
      <c r="Q67" s="25"/>
      <c r="R67" s="29"/>
    </row>
    <row r="68" spans="1:18" ht="15" customHeight="1" x14ac:dyDescent="0.15">
      <c r="A68" s="1"/>
      <c r="B68" s="17"/>
      <c r="C68" s="21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3"/>
      <c r="P68" s="24"/>
      <c r="Q68" s="25"/>
      <c r="R68" s="28"/>
    </row>
    <row r="69" spans="1:18" ht="15" customHeight="1" x14ac:dyDescent="0.15">
      <c r="A69" s="1"/>
      <c r="B69" s="17"/>
      <c r="C69" s="21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3"/>
      <c r="P69" s="24"/>
      <c r="Q69" s="25"/>
      <c r="R69" s="29"/>
    </row>
    <row r="70" spans="1:18" ht="15" customHeight="1" x14ac:dyDescent="0.15">
      <c r="A70" s="1"/>
      <c r="B70" s="17"/>
      <c r="C70" s="21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3"/>
      <c r="P70" s="24"/>
      <c r="Q70" s="25"/>
      <c r="R70" s="30"/>
    </row>
    <row r="71" spans="1:18" ht="15" customHeight="1" x14ac:dyDescent="0.15">
      <c r="A71" s="1"/>
      <c r="B71" s="17"/>
      <c r="C71" s="21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3"/>
      <c r="P71" s="24"/>
      <c r="Q71" s="25"/>
      <c r="R71" s="29"/>
    </row>
    <row r="72" spans="1:18" ht="15" customHeight="1" x14ac:dyDescent="0.15">
      <c r="A72" s="1"/>
      <c r="B72" s="17"/>
      <c r="C72" s="21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3"/>
      <c r="P72" s="24"/>
      <c r="Q72" s="25"/>
      <c r="R72" s="30"/>
    </row>
    <row r="73" spans="1:18" ht="15" customHeight="1" x14ac:dyDescent="0.15">
      <c r="A73" s="1"/>
      <c r="B73" s="17"/>
      <c r="C73" s="21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3"/>
      <c r="P73" s="24"/>
      <c r="Q73" s="25"/>
      <c r="R73" s="29"/>
    </row>
    <row r="74" spans="1:18" ht="15" customHeight="1" x14ac:dyDescent="0.15">
      <c r="A74" s="1"/>
      <c r="B74" s="17"/>
      <c r="C74" s="21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3"/>
      <c r="P74" s="24"/>
      <c r="Q74" s="25"/>
      <c r="R74" s="31"/>
    </row>
    <row r="75" spans="1:18" ht="15" customHeight="1" x14ac:dyDescent="0.15">
      <c r="A75" s="1"/>
      <c r="B75" s="17"/>
      <c r="C75" s="21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3"/>
      <c r="P75" s="24"/>
      <c r="Q75" s="25"/>
      <c r="R75" s="29"/>
    </row>
    <row r="76" spans="1:18" ht="15" customHeight="1" x14ac:dyDescent="0.15">
      <c r="A76" s="1"/>
      <c r="B76" s="17"/>
      <c r="C76" s="21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3"/>
      <c r="P76" s="24"/>
      <c r="Q76" s="25"/>
      <c r="R76" s="28"/>
    </row>
    <row r="77" spans="1:18" ht="15" customHeight="1" x14ac:dyDescent="0.15">
      <c r="A77" s="1"/>
      <c r="B77" s="17"/>
      <c r="C77" s="21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3"/>
      <c r="P77" s="24"/>
      <c r="Q77" s="25"/>
      <c r="R77" s="28"/>
    </row>
    <row r="78" spans="1:18" ht="15" customHeight="1" x14ac:dyDescent="0.15">
      <c r="A78" s="1"/>
      <c r="B78" s="17"/>
      <c r="C78" s="21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3"/>
      <c r="P78" s="24"/>
      <c r="Q78" s="25"/>
      <c r="R78" s="29"/>
    </row>
    <row r="79" spans="1:18" ht="15" customHeight="1" x14ac:dyDescent="0.15">
      <c r="A79" s="1"/>
      <c r="B79" s="17"/>
      <c r="C79" s="21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3"/>
      <c r="P79" s="24"/>
      <c r="Q79" s="25"/>
      <c r="R79" s="30"/>
    </row>
    <row r="80" spans="1:18" ht="15" customHeight="1" x14ac:dyDescent="0.15">
      <c r="A80" s="1"/>
      <c r="B80" s="17"/>
      <c r="C80" s="21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3"/>
      <c r="P80" s="24"/>
      <c r="Q80" s="25"/>
      <c r="R80" s="29"/>
    </row>
    <row r="81" spans="1:18" ht="15" customHeight="1" x14ac:dyDescent="0.15">
      <c r="A81" s="1"/>
      <c r="B81" s="17"/>
      <c r="C81" s="21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3"/>
      <c r="P81" s="24"/>
      <c r="Q81" s="25"/>
      <c r="R81" s="28"/>
    </row>
    <row r="82" spans="1:18" ht="15" customHeight="1" x14ac:dyDescent="0.15">
      <c r="A82" s="1"/>
      <c r="B82" s="17"/>
      <c r="C82" s="21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3"/>
      <c r="P82" s="24"/>
      <c r="Q82" s="25"/>
      <c r="R82" s="30"/>
    </row>
    <row r="83" spans="1:18" ht="15" customHeight="1" x14ac:dyDescent="0.15">
      <c r="A83" s="1"/>
      <c r="B83" s="17"/>
      <c r="C83" s="21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3"/>
      <c r="P83" s="24"/>
      <c r="Q83" s="25"/>
      <c r="R83" s="29"/>
    </row>
    <row r="84" spans="1:18" ht="15" customHeight="1" x14ac:dyDescent="0.15">
      <c r="A84" s="1"/>
      <c r="B84" s="17"/>
      <c r="C84" s="21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3"/>
      <c r="P84" s="24"/>
      <c r="Q84" s="25"/>
      <c r="R84" s="31"/>
    </row>
    <row r="85" spans="1:18" ht="15" customHeight="1" x14ac:dyDescent="0.15">
      <c r="A85" s="1"/>
      <c r="B85" s="17"/>
      <c r="C85" s="21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3"/>
      <c r="P85" s="24"/>
      <c r="Q85" s="25"/>
      <c r="R85" s="29"/>
    </row>
    <row r="86" spans="1:18" ht="15" customHeight="1" x14ac:dyDescent="0.15">
      <c r="A86" s="1"/>
      <c r="B86" s="17"/>
      <c r="C86" s="21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3"/>
      <c r="P86" s="24"/>
      <c r="Q86" s="25"/>
      <c r="R86" s="28"/>
    </row>
    <row r="87" spans="1:18" ht="15" customHeight="1" x14ac:dyDescent="0.15">
      <c r="A87" s="1"/>
      <c r="B87" s="17"/>
      <c r="C87" s="21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3"/>
      <c r="P87" s="24"/>
      <c r="Q87" s="25"/>
      <c r="R87" s="30"/>
    </row>
    <row r="88" spans="1:18" ht="15" customHeight="1" x14ac:dyDescent="0.15">
      <c r="A88" s="1"/>
      <c r="B88" s="17"/>
      <c r="C88" s="21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3"/>
      <c r="P88" s="24"/>
      <c r="Q88" s="25"/>
      <c r="R88" s="29"/>
    </row>
    <row r="89" spans="1:18" ht="15" customHeight="1" x14ac:dyDescent="0.15">
      <c r="A89" s="1"/>
      <c r="B89" s="17"/>
      <c r="C89" s="21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3"/>
      <c r="P89" s="24"/>
      <c r="Q89" s="25"/>
      <c r="R89" s="31"/>
    </row>
    <row r="90" spans="1:18" ht="15" customHeight="1" x14ac:dyDescent="0.15">
      <c r="A90" s="1"/>
      <c r="B90" s="17"/>
      <c r="C90" s="21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3"/>
      <c r="P90" s="24"/>
      <c r="Q90" s="25"/>
      <c r="R90" s="28"/>
    </row>
    <row r="91" spans="1:18" ht="15" customHeight="1" x14ac:dyDescent="0.15">
      <c r="A91" s="1"/>
      <c r="B91" s="17"/>
      <c r="C91" s="21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3"/>
      <c r="P91" s="24"/>
      <c r="Q91" s="25"/>
      <c r="R91" s="29"/>
    </row>
    <row r="92" spans="1:18" ht="15" customHeight="1" x14ac:dyDescent="0.15">
      <c r="A92" s="1"/>
      <c r="B92" s="17"/>
      <c r="C92" s="21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3"/>
      <c r="P92" s="24"/>
      <c r="Q92" s="25"/>
      <c r="R92" s="30"/>
    </row>
    <row r="93" spans="1:18" ht="15" customHeight="1" x14ac:dyDescent="0.15">
      <c r="A93" s="1"/>
      <c r="B93" s="17"/>
      <c r="C93" s="21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3"/>
      <c r="P93" s="24"/>
      <c r="Q93" s="25"/>
      <c r="R93" s="28"/>
    </row>
    <row r="94" spans="1:18" ht="15" customHeight="1" x14ac:dyDescent="0.15">
      <c r="A94" s="1"/>
      <c r="B94" s="17"/>
      <c r="C94" s="21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3"/>
      <c r="P94" s="24"/>
      <c r="Q94" s="25"/>
      <c r="R94" s="29"/>
    </row>
    <row r="95" spans="1:18" ht="15" customHeight="1" x14ac:dyDescent="0.15">
      <c r="A95" s="1"/>
      <c r="B95" s="17"/>
      <c r="C95" s="21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3"/>
      <c r="P95" s="24"/>
      <c r="Q95" s="25"/>
      <c r="R95" s="28"/>
    </row>
    <row r="96" spans="1:18" ht="15" customHeight="1" x14ac:dyDescent="0.15">
      <c r="A96" s="1"/>
      <c r="B96" s="17"/>
      <c r="C96" s="21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3"/>
      <c r="P96" s="24"/>
      <c r="Q96" s="25"/>
      <c r="R96" s="29"/>
    </row>
    <row r="97" spans="1:18" ht="15" customHeight="1" x14ac:dyDescent="0.15">
      <c r="A97" s="1"/>
      <c r="B97" s="17"/>
      <c r="C97" s="21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3"/>
      <c r="P97" s="24"/>
      <c r="Q97" s="25"/>
      <c r="R97" s="28"/>
    </row>
    <row r="98" spans="1:18" ht="15" customHeight="1" x14ac:dyDescent="0.15">
      <c r="A98" s="1"/>
      <c r="B98" s="17"/>
      <c r="C98" s="21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3"/>
      <c r="P98" s="24"/>
      <c r="Q98" s="25"/>
      <c r="R98" s="30"/>
    </row>
    <row r="99" spans="1:18" ht="15" customHeight="1" x14ac:dyDescent="0.15">
      <c r="A99" s="1"/>
      <c r="B99" s="17"/>
      <c r="C99" s="21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3"/>
      <c r="P99" s="24"/>
      <c r="Q99" s="25"/>
      <c r="R99" s="29"/>
    </row>
    <row r="100" spans="1:18" ht="15" customHeight="1" x14ac:dyDescent="0.15">
      <c r="A100" s="1"/>
      <c r="B100" s="17"/>
      <c r="C100" s="21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3"/>
      <c r="P100" s="24"/>
      <c r="Q100" s="25"/>
      <c r="R100" s="31"/>
    </row>
    <row r="101" spans="1:18" ht="15" customHeight="1" x14ac:dyDescent="0.15">
      <c r="A101" s="1"/>
      <c r="B101" s="17"/>
      <c r="C101" s="21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3"/>
      <c r="P101" s="24"/>
      <c r="Q101" s="25"/>
      <c r="R101" s="28"/>
    </row>
    <row r="102" spans="1:18" ht="15" customHeight="1" x14ac:dyDescent="0.15">
      <c r="A102" s="1"/>
      <c r="B102" s="17"/>
      <c r="C102" s="21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3"/>
      <c r="P102" s="24"/>
      <c r="Q102" s="25"/>
      <c r="R102" s="28"/>
    </row>
    <row r="103" spans="1:18" ht="15" customHeight="1" x14ac:dyDescent="0.15">
      <c r="A103" s="1"/>
      <c r="B103" s="17"/>
      <c r="C103" s="21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3"/>
      <c r="P103" s="24"/>
      <c r="Q103" s="25"/>
      <c r="R103" s="28"/>
    </row>
    <row r="104" spans="1:18" ht="15" customHeight="1" x14ac:dyDescent="0.15">
      <c r="A104" s="1"/>
      <c r="B104" s="17"/>
      <c r="C104" s="21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3"/>
      <c r="P104" s="24"/>
      <c r="Q104" s="25"/>
      <c r="R104" s="28"/>
    </row>
    <row r="105" spans="1:18" ht="15" customHeight="1" x14ac:dyDescent="0.15">
      <c r="A105" s="1"/>
      <c r="B105" s="17"/>
      <c r="C105" s="21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3"/>
      <c r="P105" s="24"/>
      <c r="Q105" s="25"/>
      <c r="R105" s="29"/>
    </row>
    <row r="106" spans="1:18" ht="15" customHeight="1" x14ac:dyDescent="0.15">
      <c r="A106" s="1"/>
      <c r="B106" s="17"/>
      <c r="C106" s="21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3"/>
      <c r="P106" s="24"/>
      <c r="Q106" s="25"/>
      <c r="R106" s="30"/>
    </row>
    <row r="107" spans="1:18" ht="15" customHeight="1" x14ac:dyDescent="0.15">
      <c r="A107" s="1"/>
      <c r="B107" s="17"/>
      <c r="C107" s="21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3"/>
      <c r="P107" s="24"/>
      <c r="Q107" s="25"/>
      <c r="R107" s="29"/>
    </row>
    <row r="108" spans="1:18" ht="15" customHeight="1" x14ac:dyDescent="0.15">
      <c r="A108" s="1"/>
      <c r="B108" s="17"/>
      <c r="C108" s="21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3"/>
      <c r="P108" s="24"/>
      <c r="Q108" s="25"/>
      <c r="R108" s="31"/>
    </row>
    <row r="109" spans="1:18" ht="15" customHeight="1" x14ac:dyDescent="0.15">
      <c r="A109" s="1"/>
      <c r="B109" s="17"/>
      <c r="C109" s="21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3"/>
      <c r="P109" s="24"/>
      <c r="Q109" s="25"/>
      <c r="R109" s="29"/>
    </row>
    <row r="110" spans="1:18" ht="15" customHeight="1" x14ac:dyDescent="0.15">
      <c r="A110" s="1"/>
      <c r="B110" s="17"/>
      <c r="C110" s="21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3"/>
      <c r="P110" s="24"/>
      <c r="Q110" s="25"/>
      <c r="R110" s="28"/>
    </row>
    <row r="111" spans="1:18" ht="15" customHeight="1" x14ac:dyDescent="0.15">
      <c r="A111" s="1"/>
      <c r="B111" s="17"/>
      <c r="C111" s="21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3"/>
      <c r="P111" s="24"/>
      <c r="Q111" s="25"/>
      <c r="R111" s="29"/>
    </row>
    <row r="112" spans="1:18" ht="15" customHeight="1" x14ac:dyDescent="0.15">
      <c r="A112" s="1"/>
      <c r="B112" s="17"/>
      <c r="C112" s="21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3"/>
      <c r="P112" s="24"/>
      <c r="Q112" s="25"/>
      <c r="R112" s="30"/>
    </row>
    <row r="113" spans="1:18" ht="15" customHeight="1" x14ac:dyDescent="0.15">
      <c r="A113" s="1"/>
      <c r="B113" s="17"/>
      <c r="C113" s="21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3"/>
      <c r="P113" s="24"/>
      <c r="Q113" s="25"/>
      <c r="R113" s="29"/>
    </row>
    <row r="114" spans="1:18" ht="15" customHeight="1" x14ac:dyDescent="0.15">
      <c r="A114" s="1"/>
      <c r="B114" s="17"/>
      <c r="C114" s="21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3"/>
      <c r="P114" s="24"/>
      <c r="Q114" s="25"/>
      <c r="R114" s="31"/>
    </row>
    <row r="115" spans="1:18" ht="15" customHeight="1" x14ac:dyDescent="0.15">
      <c r="A115" s="1"/>
      <c r="B115" s="17"/>
      <c r="C115" s="21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3"/>
      <c r="P115" s="24"/>
      <c r="Q115" s="25"/>
      <c r="R115" s="29"/>
    </row>
    <row r="116" spans="1:18" ht="15" customHeight="1" x14ac:dyDescent="0.15">
      <c r="A116" s="1"/>
      <c r="B116" s="17"/>
      <c r="C116" s="21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3"/>
      <c r="P116" s="24"/>
      <c r="Q116" s="25"/>
      <c r="R116" s="28"/>
    </row>
    <row r="117" spans="1:18" ht="15" customHeight="1" x14ac:dyDescent="0.15">
      <c r="A117" s="1"/>
      <c r="B117" s="17"/>
      <c r="C117" s="21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3"/>
      <c r="P117" s="24"/>
      <c r="Q117" s="25"/>
      <c r="R117" s="28"/>
    </row>
    <row r="118" spans="1:18" ht="15" customHeight="1" x14ac:dyDescent="0.15">
      <c r="A118" s="1"/>
      <c r="B118" s="17"/>
      <c r="C118" s="21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3"/>
      <c r="P118" s="24"/>
      <c r="Q118" s="25"/>
      <c r="R118" s="29"/>
    </row>
    <row r="119" spans="1:18" ht="15" customHeight="1" x14ac:dyDescent="0.15">
      <c r="A119" s="1"/>
      <c r="B119" s="17"/>
      <c r="C119" s="21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3"/>
      <c r="P119" s="24"/>
      <c r="Q119" s="25"/>
      <c r="R119" s="30"/>
    </row>
    <row r="120" spans="1:18" ht="15" customHeight="1" x14ac:dyDescent="0.15">
      <c r="A120" s="1"/>
      <c r="B120" s="17"/>
      <c r="C120" s="21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3"/>
      <c r="P120" s="24"/>
      <c r="Q120" s="25"/>
      <c r="R120" s="29"/>
    </row>
    <row r="121" spans="1:18" ht="15" customHeight="1" x14ac:dyDescent="0.15">
      <c r="A121" s="1"/>
      <c r="B121" s="17"/>
      <c r="C121" s="21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3"/>
      <c r="P121" s="24"/>
      <c r="Q121" s="25"/>
      <c r="R121" s="30"/>
    </row>
    <row r="122" spans="1:18" ht="15" customHeight="1" x14ac:dyDescent="0.15">
      <c r="A122" s="1"/>
      <c r="B122" s="17"/>
      <c r="C122" s="21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3"/>
      <c r="P122" s="24"/>
      <c r="Q122" s="25"/>
      <c r="R122" s="29"/>
    </row>
    <row r="123" spans="1:18" ht="15" customHeight="1" x14ac:dyDescent="0.15">
      <c r="A123" s="1"/>
      <c r="B123" s="17"/>
      <c r="C123" s="21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3"/>
      <c r="P123" s="24"/>
      <c r="Q123" s="25"/>
      <c r="R123" s="31"/>
    </row>
    <row r="124" spans="1:18" ht="15" customHeight="1" x14ac:dyDescent="0.15">
      <c r="A124" s="1"/>
      <c r="B124" s="17"/>
      <c r="C124" s="21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3"/>
      <c r="P124" s="24"/>
      <c r="Q124" s="25"/>
      <c r="R124" s="29"/>
    </row>
    <row r="125" spans="1:18" ht="15" customHeight="1" x14ac:dyDescent="0.15">
      <c r="A125" s="1"/>
      <c r="B125" s="17"/>
      <c r="C125" s="21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3"/>
      <c r="P125" s="24"/>
      <c r="Q125" s="25"/>
      <c r="R125" s="31"/>
    </row>
    <row r="126" spans="1:18" ht="15" customHeight="1" x14ac:dyDescent="0.15">
      <c r="A126" s="1"/>
      <c r="B126" s="17"/>
      <c r="C126" s="21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3"/>
      <c r="P126" s="24"/>
      <c r="Q126" s="25"/>
      <c r="R126" s="28"/>
    </row>
    <row r="127" spans="1:18" ht="15" customHeight="1" x14ac:dyDescent="0.15">
      <c r="A127" s="1"/>
      <c r="B127" s="17"/>
      <c r="C127" s="21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3"/>
      <c r="P127" s="24"/>
      <c r="Q127" s="25"/>
      <c r="R127" s="28"/>
    </row>
    <row r="128" spans="1:18" ht="15" customHeight="1" x14ac:dyDescent="0.15">
      <c r="A128" s="1"/>
      <c r="B128" s="17"/>
      <c r="C128" s="21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3"/>
      <c r="P128" s="24"/>
      <c r="Q128" s="25"/>
      <c r="R128" s="30"/>
    </row>
    <row r="129" spans="1:18" ht="15" customHeight="1" x14ac:dyDescent="0.15">
      <c r="A129" s="1"/>
      <c r="B129" s="17"/>
      <c r="C129" s="21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3"/>
      <c r="P129" s="24"/>
      <c r="Q129" s="25"/>
      <c r="R129" s="29"/>
    </row>
    <row r="130" spans="1:18" ht="15" customHeight="1" x14ac:dyDescent="0.15">
      <c r="A130" s="1"/>
      <c r="B130" s="17"/>
      <c r="C130" s="21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3"/>
      <c r="P130" s="24"/>
      <c r="Q130" s="25"/>
      <c r="R130" s="31"/>
    </row>
    <row r="131" spans="1:18" ht="15" customHeight="1" x14ac:dyDescent="0.15">
      <c r="A131" s="1"/>
      <c r="B131" s="17"/>
      <c r="C131" s="21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3"/>
      <c r="P131" s="24"/>
      <c r="Q131" s="25"/>
      <c r="R131" s="29"/>
    </row>
    <row r="132" spans="1:18" ht="15" customHeight="1" x14ac:dyDescent="0.15">
      <c r="A132" s="1"/>
      <c r="B132" s="17"/>
      <c r="C132" s="21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3"/>
      <c r="P132" s="24"/>
      <c r="Q132" s="25"/>
      <c r="R132" s="28"/>
    </row>
    <row r="133" spans="1:18" ht="15" customHeight="1" x14ac:dyDescent="0.15">
      <c r="A133" s="1"/>
      <c r="B133" s="17"/>
      <c r="C133" s="21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3"/>
      <c r="P133" s="24"/>
      <c r="Q133" s="25"/>
      <c r="R133" s="29"/>
    </row>
    <row r="134" spans="1:18" ht="15" customHeight="1" x14ac:dyDescent="0.15">
      <c r="A134" s="1"/>
      <c r="B134" s="17"/>
      <c r="C134" s="21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3"/>
      <c r="P134" s="24"/>
      <c r="Q134" s="25"/>
      <c r="R134" s="30"/>
    </row>
    <row r="135" spans="1:18" ht="15" customHeight="1" x14ac:dyDescent="0.15">
      <c r="A135" s="1"/>
      <c r="B135" s="17"/>
      <c r="C135" s="21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3"/>
      <c r="P135" s="24"/>
      <c r="Q135" s="25"/>
      <c r="R135" s="29"/>
    </row>
    <row r="136" spans="1:18" ht="15" customHeight="1" x14ac:dyDescent="0.15">
      <c r="A136" s="1"/>
      <c r="B136" s="17"/>
      <c r="C136" s="21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3"/>
      <c r="P136" s="24"/>
      <c r="Q136" s="25"/>
      <c r="R136" s="31"/>
    </row>
    <row r="137" spans="1:18" ht="15" customHeight="1" x14ac:dyDescent="0.15">
      <c r="A137" s="1"/>
      <c r="B137" s="17"/>
      <c r="C137" s="21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3"/>
      <c r="P137" s="24"/>
      <c r="Q137" s="25"/>
      <c r="R137" s="28"/>
    </row>
    <row r="138" spans="1:18" ht="15" customHeight="1" x14ac:dyDescent="0.15">
      <c r="A138" s="1"/>
      <c r="B138" s="17"/>
      <c r="C138" s="21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3"/>
      <c r="P138" s="24"/>
      <c r="Q138" s="25"/>
      <c r="R138" s="29"/>
    </row>
    <row r="139" spans="1:18" ht="15" customHeight="1" x14ac:dyDescent="0.15">
      <c r="A139" s="1"/>
      <c r="B139" s="17"/>
      <c r="C139" s="21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3"/>
      <c r="P139" s="24"/>
      <c r="Q139" s="25"/>
      <c r="R139" s="30"/>
    </row>
    <row r="140" spans="1:18" ht="15" customHeight="1" x14ac:dyDescent="0.15">
      <c r="A140" s="1"/>
      <c r="B140" s="17"/>
      <c r="C140" s="21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3"/>
      <c r="P140" s="24"/>
      <c r="Q140" s="25"/>
      <c r="R140" s="29"/>
    </row>
    <row r="141" spans="1:18" ht="15" customHeight="1" x14ac:dyDescent="0.15">
      <c r="A141" s="1"/>
      <c r="B141" s="17"/>
      <c r="C141" s="21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3"/>
      <c r="P141" s="24"/>
      <c r="Q141" s="25"/>
      <c r="R141" s="30"/>
    </row>
    <row r="142" spans="1:18" ht="15" customHeight="1" x14ac:dyDescent="0.15">
      <c r="A142" s="1"/>
      <c r="B142" s="17"/>
      <c r="C142" s="21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3"/>
      <c r="P142" s="24"/>
      <c r="Q142" s="25"/>
      <c r="R142" s="29"/>
    </row>
    <row r="143" spans="1:18" ht="15" customHeight="1" x14ac:dyDescent="0.15">
      <c r="A143" s="1"/>
      <c r="B143" s="17"/>
      <c r="C143" s="21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3"/>
      <c r="P143" s="24"/>
      <c r="Q143" s="25"/>
      <c r="R143" s="31"/>
    </row>
    <row r="144" spans="1:18" ht="15" customHeight="1" x14ac:dyDescent="0.15">
      <c r="A144" s="1"/>
      <c r="B144" s="17"/>
      <c r="C144" s="21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3"/>
      <c r="P144" s="24"/>
      <c r="Q144" s="25"/>
      <c r="R144" s="29"/>
    </row>
    <row r="145" spans="1:18" ht="15" customHeight="1" x14ac:dyDescent="0.15">
      <c r="A145" s="1"/>
      <c r="B145" s="17"/>
      <c r="C145" s="21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3"/>
      <c r="P145" s="24"/>
      <c r="Q145" s="25"/>
      <c r="R145" s="31"/>
    </row>
    <row r="146" spans="1:18" ht="15" customHeight="1" x14ac:dyDescent="0.15">
      <c r="A146" s="1"/>
      <c r="B146" s="17"/>
      <c r="C146" s="21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3"/>
      <c r="P146" s="24"/>
      <c r="Q146" s="25"/>
      <c r="R146" s="29"/>
    </row>
    <row r="147" spans="1:18" ht="15" customHeight="1" x14ac:dyDescent="0.15">
      <c r="A147" s="1"/>
      <c r="B147" s="17"/>
      <c r="C147" s="21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3"/>
      <c r="P147" s="24"/>
      <c r="Q147" s="25"/>
      <c r="R147" s="31"/>
    </row>
    <row r="148" spans="1:18" ht="15" customHeight="1" x14ac:dyDescent="0.15">
      <c r="A148" s="1"/>
      <c r="B148" s="17"/>
      <c r="C148" s="21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3"/>
      <c r="P148" s="24"/>
      <c r="Q148" s="25"/>
      <c r="R148" s="29"/>
    </row>
    <row r="149" spans="1:18" ht="15" customHeight="1" x14ac:dyDescent="0.15">
      <c r="A149" s="1"/>
      <c r="B149" s="17"/>
      <c r="C149" s="21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3"/>
      <c r="P149" s="24"/>
      <c r="Q149" s="25"/>
      <c r="R149" s="28"/>
    </row>
    <row r="150" spans="1:18" ht="15" customHeight="1" x14ac:dyDescent="0.15">
      <c r="A150" s="1"/>
      <c r="B150" s="17"/>
      <c r="C150" s="21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3"/>
      <c r="P150" s="24"/>
      <c r="Q150" s="25"/>
      <c r="R150" s="28"/>
    </row>
    <row r="151" spans="1:18" ht="15" customHeight="1" x14ac:dyDescent="0.15">
      <c r="A151" s="1"/>
      <c r="B151" s="17"/>
      <c r="C151" s="21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3"/>
      <c r="P151" s="24"/>
      <c r="Q151" s="25"/>
      <c r="R151" s="28"/>
    </row>
    <row r="152" spans="1:18" ht="15" customHeight="1" x14ac:dyDescent="0.15">
      <c r="A152" s="1"/>
      <c r="B152" s="17"/>
      <c r="C152" s="21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3"/>
      <c r="P152" s="24"/>
      <c r="Q152" s="25"/>
      <c r="R152" s="28"/>
    </row>
    <row r="153" spans="1:18" ht="15" customHeight="1" x14ac:dyDescent="0.15">
      <c r="A153" s="1"/>
      <c r="B153" s="17"/>
      <c r="C153" s="21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3"/>
      <c r="P153" s="24"/>
      <c r="Q153" s="25"/>
      <c r="R153" s="29"/>
    </row>
    <row r="154" spans="1:18" ht="15" customHeight="1" x14ac:dyDescent="0.15">
      <c r="A154" s="1"/>
      <c r="B154" s="17"/>
      <c r="C154" s="21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3"/>
      <c r="P154" s="24"/>
      <c r="Q154" s="25"/>
      <c r="R154" s="30"/>
    </row>
    <row r="155" spans="1:18" ht="15" customHeight="1" x14ac:dyDescent="0.15">
      <c r="A155" s="1"/>
      <c r="B155" s="17"/>
      <c r="C155" s="21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3"/>
      <c r="P155" s="24"/>
      <c r="Q155" s="25"/>
      <c r="R155" s="29"/>
    </row>
    <row r="156" spans="1:18" ht="15" customHeight="1" x14ac:dyDescent="0.15">
      <c r="A156" s="1"/>
      <c r="B156" s="17"/>
      <c r="C156" s="21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3"/>
      <c r="P156" s="24"/>
      <c r="Q156" s="25"/>
      <c r="R156" s="30"/>
    </row>
    <row r="157" spans="1:18" ht="15" customHeight="1" x14ac:dyDescent="0.15">
      <c r="A157" s="1"/>
      <c r="B157" s="17"/>
      <c r="C157" s="21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3"/>
      <c r="P157" s="24"/>
      <c r="Q157" s="25"/>
      <c r="R157" s="29"/>
    </row>
    <row r="158" spans="1:18" ht="15" customHeight="1" x14ac:dyDescent="0.15">
      <c r="A158" s="1"/>
      <c r="B158" s="17"/>
      <c r="C158" s="21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3"/>
      <c r="P158" s="24"/>
      <c r="Q158" s="25"/>
      <c r="R158" s="31"/>
    </row>
    <row r="159" spans="1:18" ht="15" customHeight="1" x14ac:dyDescent="0.15">
      <c r="A159" s="1"/>
      <c r="B159" s="17"/>
      <c r="C159" s="21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3"/>
      <c r="P159" s="24"/>
      <c r="Q159" s="25"/>
      <c r="R159" s="29"/>
    </row>
    <row r="160" spans="1:18" ht="15" customHeight="1" x14ac:dyDescent="0.15">
      <c r="A160" s="1"/>
      <c r="B160" s="17"/>
      <c r="C160" s="21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3"/>
      <c r="P160" s="24"/>
      <c r="Q160" s="25"/>
      <c r="R160" s="31"/>
    </row>
    <row r="161" spans="1:18" ht="15" customHeight="1" x14ac:dyDescent="0.15">
      <c r="A161" s="1"/>
      <c r="B161" s="17"/>
      <c r="C161" s="21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3"/>
      <c r="P161" s="24"/>
      <c r="Q161" s="25"/>
      <c r="R161" s="29"/>
    </row>
    <row r="162" spans="1:18" ht="15" customHeight="1" x14ac:dyDescent="0.15">
      <c r="A162" s="1"/>
      <c r="B162" s="17"/>
      <c r="C162" s="21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3"/>
      <c r="P162" s="24"/>
      <c r="Q162" s="25"/>
      <c r="R162" s="28"/>
    </row>
    <row r="163" spans="1:18" ht="15" customHeight="1" x14ac:dyDescent="0.15">
      <c r="A163" s="1"/>
      <c r="B163" s="17"/>
      <c r="C163" s="21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3"/>
      <c r="P163" s="24"/>
      <c r="Q163" s="25"/>
      <c r="R163" s="29"/>
    </row>
    <row r="164" spans="1:18" ht="15" customHeight="1" x14ac:dyDescent="0.15">
      <c r="A164" s="1"/>
      <c r="B164" s="17"/>
      <c r="C164" s="21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3"/>
      <c r="P164" s="24"/>
      <c r="Q164" s="25"/>
      <c r="R164" s="30"/>
    </row>
    <row r="165" spans="1:18" ht="15" customHeight="1" x14ac:dyDescent="0.15">
      <c r="A165" s="1"/>
      <c r="B165" s="17"/>
      <c r="C165" s="21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3"/>
      <c r="P165" s="24"/>
      <c r="Q165" s="25"/>
      <c r="R165" s="29"/>
    </row>
    <row r="166" spans="1:18" ht="15" customHeight="1" x14ac:dyDescent="0.15">
      <c r="A166" s="1"/>
      <c r="B166" s="17"/>
      <c r="C166" s="21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3"/>
      <c r="P166" s="24"/>
      <c r="Q166" s="25"/>
      <c r="R166" s="31"/>
    </row>
    <row r="167" spans="1:18" ht="15" customHeight="1" x14ac:dyDescent="0.15">
      <c r="A167" s="1"/>
      <c r="B167" s="17"/>
      <c r="C167" s="21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3"/>
      <c r="P167" s="24"/>
      <c r="Q167" s="25"/>
      <c r="R167" s="28"/>
    </row>
    <row r="168" spans="1:18" ht="15" customHeight="1" x14ac:dyDescent="0.15">
      <c r="A168" s="1"/>
      <c r="B168" s="17"/>
      <c r="C168" s="21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3"/>
      <c r="P168" s="24"/>
      <c r="Q168" s="25"/>
      <c r="R168" s="29"/>
    </row>
    <row r="169" spans="1:18" ht="15" customHeight="1" x14ac:dyDescent="0.15">
      <c r="A169" s="1"/>
      <c r="B169" s="17"/>
      <c r="C169" s="21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3"/>
      <c r="P169" s="24"/>
      <c r="Q169" s="25"/>
      <c r="R169" s="30"/>
    </row>
    <row r="170" spans="1:18" ht="15" customHeight="1" x14ac:dyDescent="0.15">
      <c r="A170" s="1"/>
      <c r="B170" s="17"/>
      <c r="C170" s="21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3"/>
      <c r="P170" s="24"/>
      <c r="Q170" s="25"/>
      <c r="R170" s="29"/>
    </row>
    <row r="171" spans="1:18" ht="15" customHeight="1" x14ac:dyDescent="0.15">
      <c r="A171" s="1"/>
      <c r="B171" s="17"/>
      <c r="C171" s="21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3"/>
      <c r="P171" s="24"/>
      <c r="Q171" s="25"/>
      <c r="R171" s="31"/>
    </row>
    <row r="172" spans="1:18" ht="15" customHeight="1" x14ac:dyDescent="0.15">
      <c r="A172" s="1"/>
      <c r="B172" s="17"/>
      <c r="C172" s="21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3"/>
      <c r="P172" s="24"/>
      <c r="Q172" s="25"/>
      <c r="R172" s="28"/>
    </row>
    <row r="173" spans="1:18" ht="15" customHeight="1" x14ac:dyDescent="0.15">
      <c r="A173" s="1"/>
      <c r="B173" s="17"/>
      <c r="C173" s="21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3"/>
      <c r="P173" s="24"/>
      <c r="Q173" s="25"/>
      <c r="R173" s="29"/>
    </row>
    <row r="174" spans="1:18" ht="15" customHeight="1" x14ac:dyDescent="0.15">
      <c r="A174" s="1"/>
      <c r="B174" s="17"/>
      <c r="C174" s="21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3"/>
      <c r="P174" s="24"/>
      <c r="Q174" s="25"/>
      <c r="R174" s="30"/>
    </row>
    <row r="175" spans="1:18" ht="15" customHeight="1" x14ac:dyDescent="0.15">
      <c r="A175" s="1"/>
      <c r="B175" s="17"/>
      <c r="C175" s="21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3"/>
      <c r="P175" s="24"/>
      <c r="Q175" s="25"/>
      <c r="R175" s="29"/>
    </row>
    <row r="176" spans="1:18" ht="15" customHeight="1" x14ac:dyDescent="0.15">
      <c r="A176" s="1"/>
      <c r="B176" s="17"/>
      <c r="C176" s="21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3"/>
      <c r="P176" s="24"/>
      <c r="Q176" s="25"/>
      <c r="R176" s="31"/>
    </row>
    <row r="177" spans="1:18" ht="15" customHeight="1" x14ac:dyDescent="0.15">
      <c r="A177" s="1"/>
      <c r="B177" s="17"/>
      <c r="C177" s="21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3"/>
      <c r="P177" s="24"/>
      <c r="Q177" s="25"/>
      <c r="R177" s="28"/>
    </row>
    <row r="178" spans="1:18" ht="15" customHeight="1" x14ac:dyDescent="0.15">
      <c r="A178" s="1"/>
      <c r="B178" s="17"/>
      <c r="C178" s="21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3"/>
      <c r="P178" s="24"/>
      <c r="Q178" s="25"/>
      <c r="R178" s="29"/>
    </row>
    <row r="179" spans="1:18" ht="15" customHeight="1" x14ac:dyDescent="0.15">
      <c r="A179" s="1"/>
      <c r="B179" s="17"/>
      <c r="C179" s="21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3"/>
      <c r="P179" s="24"/>
      <c r="Q179" s="25"/>
      <c r="R179" s="30"/>
    </row>
    <row r="180" spans="1:18" ht="15" customHeight="1" x14ac:dyDescent="0.15">
      <c r="A180" s="1"/>
      <c r="B180" s="17"/>
      <c r="C180" s="21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3"/>
      <c r="P180" s="24"/>
      <c r="Q180" s="25"/>
      <c r="R180" s="29"/>
    </row>
    <row r="181" spans="1:18" ht="15" customHeight="1" x14ac:dyDescent="0.15">
      <c r="A181" s="1"/>
      <c r="B181" s="17"/>
      <c r="C181" s="21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3"/>
      <c r="P181" s="24"/>
      <c r="Q181" s="25"/>
      <c r="R181" s="30"/>
    </row>
    <row r="182" spans="1:18" ht="15" customHeight="1" x14ac:dyDescent="0.15">
      <c r="A182" s="1"/>
      <c r="B182" s="17"/>
      <c r="C182" s="21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3"/>
      <c r="P182" s="24"/>
      <c r="Q182" s="25"/>
      <c r="R182" s="29"/>
    </row>
    <row r="183" spans="1:18" ht="15" customHeight="1" x14ac:dyDescent="0.15">
      <c r="A183" s="1"/>
      <c r="B183" s="17"/>
      <c r="C183" s="21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3"/>
      <c r="P183" s="24"/>
      <c r="Q183" s="25"/>
      <c r="R183" s="31"/>
    </row>
    <row r="184" spans="1:18" ht="15" customHeight="1" x14ac:dyDescent="0.15">
      <c r="A184" s="1"/>
      <c r="B184" s="17"/>
      <c r="C184" s="21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3"/>
      <c r="P184" s="24"/>
      <c r="Q184" s="25"/>
      <c r="R184" s="29"/>
    </row>
    <row r="185" spans="1:18" ht="15" customHeight="1" x14ac:dyDescent="0.15">
      <c r="A185" s="1"/>
      <c r="B185" s="17"/>
      <c r="C185" s="21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3"/>
      <c r="P185" s="24"/>
      <c r="Q185" s="25"/>
      <c r="R185" s="31"/>
    </row>
    <row r="186" spans="1:18" ht="15" customHeight="1" x14ac:dyDescent="0.15">
      <c r="A186" s="1"/>
      <c r="B186" s="17"/>
      <c r="C186" s="21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3"/>
      <c r="P186" s="24"/>
      <c r="Q186" s="25"/>
      <c r="R186" s="28"/>
    </row>
    <row r="187" spans="1:18" ht="15" customHeight="1" x14ac:dyDescent="0.15">
      <c r="A187" s="1"/>
      <c r="B187" s="17"/>
      <c r="C187" s="21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3"/>
      <c r="P187" s="24"/>
      <c r="Q187" s="25"/>
      <c r="R187" s="29"/>
    </row>
    <row r="188" spans="1:18" ht="15" customHeight="1" x14ac:dyDescent="0.15">
      <c r="A188" s="1"/>
      <c r="B188" s="17"/>
      <c r="C188" s="21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3"/>
      <c r="P188" s="24"/>
      <c r="Q188" s="25"/>
      <c r="R188" s="30"/>
    </row>
    <row r="189" spans="1:18" ht="15" customHeight="1" x14ac:dyDescent="0.15">
      <c r="A189" s="1"/>
      <c r="B189" s="17"/>
      <c r="C189" s="21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3"/>
      <c r="P189" s="24"/>
      <c r="Q189" s="25"/>
      <c r="R189" s="29"/>
    </row>
    <row r="190" spans="1:18" ht="15" customHeight="1" x14ac:dyDescent="0.15">
      <c r="A190" s="1"/>
      <c r="B190" s="17"/>
      <c r="C190" s="21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3"/>
      <c r="P190" s="24"/>
      <c r="Q190" s="25"/>
      <c r="R190" s="31"/>
    </row>
    <row r="191" spans="1:18" ht="15" customHeight="1" x14ac:dyDescent="0.15">
      <c r="A191" s="1"/>
      <c r="B191" s="17"/>
      <c r="C191" s="21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3"/>
      <c r="P191" s="24"/>
      <c r="Q191" s="25"/>
      <c r="R191" s="29"/>
    </row>
    <row r="192" spans="1:18" ht="15" customHeight="1" x14ac:dyDescent="0.15">
      <c r="A192" s="1"/>
      <c r="B192" s="17"/>
      <c r="C192" s="21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3"/>
      <c r="P192" s="24"/>
      <c r="Q192" s="25"/>
      <c r="R192" s="28"/>
    </row>
    <row r="193" spans="1:18" ht="15" customHeight="1" x14ac:dyDescent="0.15">
      <c r="A193" s="1"/>
      <c r="B193" s="17"/>
      <c r="C193" s="21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3"/>
      <c r="P193" s="24"/>
      <c r="Q193" s="25"/>
      <c r="R193" s="28"/>
    </row>
    <row r="194" spans="1:18" ht="15" customHeight="1" x14ac:dyDescent="0.15">
      <c r="A194" s="1"/>
      <c r="B194" s="17"/>
      <c r="C194" s="21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3"/>
      <c r="P194" s="24"/>
      <c r="Q194" s="25"/>
      <c r="R194" s="29"/>
    </row>
    <row r="195" spans="1:18" ht="15" customHeight="1" x14ac:dyDescent="0.15">
      <c r="A195" s="1"/>
      <c r="B195" s="17"/>
      <c r="C195" s="21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3"/>
      <c r="P195" s="24"/>
      <c r="Q195" s="25"/>
      <c r="R195" s="30"/>
    </row>
    <row r="196" spans="1:18" ht="15" customHeight="1" x14ac:dyDescent="0.15">
      <c r="A196" s="1"/>
      <c r="B196" s="17"/>
      <c r="C196" s="21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3"/>
      <c r="P196" s="24"/>
      <c r="Q196" s="25"/>
      <c r="R196" s="29"/>
    </row>
    <row r="197" spans="1:18" ht="15" customHeight="1" x14ac:dyDescent="0.15">
      <c r="A197" s="1"/>
      <c r="B197" s="17"/>
      <c r="C197" s="21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3"/>
      <c r="P197" s="24"/>
      <c r="Q197" s="25"/>
      <c r="R197" s="30"/>
    </row>
    <row r="198" spans="1:18" ht="15" customHeight="1" x14ac:dyDescent="0.15">
      <c r="A198" s="1"/>
      <c r="B198" s="17"/>
      <c r="C198" s="21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3"/>
      <c r="P198" s="24"/>
      <c r="Q198" s="25"/>
      <c r="R198" s="29"/>
    </row>
    <row r="199" spans="1:18" ht="15" customHeight="1" x14ac:dyDescent="0.15">
      <c r="A199" s="1"/>
      <c r="B199" s="17"/>
      <c r="C199" s="21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3"/>
      <c r="P199" s="24"/>
      <c r="Q199" s="25"/>
      <c r="R199" s="31"/>
    </row>
    <row r="200" spans="1:18" ht="15" customHeight="1" x14ac:dyDescent="0.15">
      <c r="A200" s="1"/>
      <c r="B200" s="17"/>
      <c r="C200" s="21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3"/>
      <c r="P200" s="24"/>
      <c r="Q200" s="25"/>
      <c r="R200" s="29"/>
    </row>
    <row r="201" spans="1:18" ht="15" customHeight="1" x14ac:dyDescent="0.15">
      <c r="A201" s="1"/>
      <c r="B201" s="17"/>
      <c r="C201" s="21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3"/>
      <c r="P201" s="24"/>
      <c r="Q201" s="25"/>
      <c r="R201" s="31"/>
    </row>
    <row r="202" spans="1:18" ht="15" customHeight="1" x14ac:dyDescent="0.15">
      <c r="A202" s="1"/>
      <c r="B202" s="17"/>
      <c r="C202" s="21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3"/>
      <c r="P202" s="24"/>
      <c r="Q202" s="25"/>
      <c r="R202" s="29"/>
    </row>
    <row r="203" spans="1:18" ht="15" customHeight="1" x14ac:dyDescent="0.15">
      <c r="A203" s="1"/>
      <c r="B203" s="17"/>
      <c r="C203" s="21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3"/>
      <c r="P203" s="24"/>
      <c r="Q203" s="25"/>
      <c r="R203" s="28"/>
    </row>
    <row r="204" spans="1:18" ht="15" customHeight="1" x14ac:dyDescent="0.15">
      <c r="A204" s="1"/>
      <c r="B204" s="17"/>
      <c r="C204" s="21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3"/>
      <c r="P204" s="24"/>
      <c r="Q204" s="25"/>
      <c r="R204" s="28"/>
    </row>
    <row r="205" spans="1:18" ht="15" customHeight="1" x14ac:dyDescent="0.15">
      <c r="A205" s="1"/>
      <c r="B205" s="17"/>
      <c r="C205" s="21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3"/>
      <c r="P205" s="24"/>
      <c r="Q205" s="25"/>
      <c r="R205" s="29"/>
    </row>
    <row r="206" spans="1:18" ht="15" customHeight="1" x14ac:dyDescent="0.15">
      <c r="A206" s="1"/>
      <c r="B206" s="17"/>
      <c r="C206" s="21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3"/>
      <c r="P206" s="24"/>
      <c r="Q206" s="25"/>
      <c r="R206" s="28"/>
    </row>
    <row r="207" spans="1:18" ht="15" customHeight="1" x14ac:dyDescent="0.15">
      <c r="A207" s="1"/>
      <c r="B207" s="17"/>
      <c r="C207" s="21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3"/>
      <c r="P207" s="24"/>
      <c r="Q207" s="25"/>
      <c r="R207" s="31"/>
    </row>
    <row r="208" spans="1:18" ht="15" customHeight="1" x14ac:dyDescent="0.15">
      <c r="A208" s="1"/>
      <c r="B208" s="17"/>
      <c r="C208" s="21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3"/>
      <c r="P208" s="24"/>
      <c r="Q208" s="25"/>
      <c r="R208" s="28"/>
    </row>
    <row r="209" spans="1:18" ht="15" customHeight="1" x14ac:dyDescent="0.15">
      <c r="A209" s="1"/>
      <c r="B209" s="17"/>
      <c r="C209" s="21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3"/>
      <c r="P209" s="24"/>
      <c r="Q209" s="25"/>
      <c r="R209" s="30"/>
    </row>
    <row r="210" spans="1:18" ht="15" customHeight="1" x14ac:dyDescent="0.15">
      <c r="A210" s="1"/>
      <c r="B210" s="17"/>
      <c r="C210" s="21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3"/>
      <c r="P210" s="24"/>
      <c r="Q210" s="25"/>
      <c r="R210" s="29"/>
    </row>
    <row r="211" spans="1:18" ht="15" customHeight="1" x14ac:dyDescent="0.15">
      <c r="A211" s="1"/>
      <c r="B211" s="17"/>
      <c r="C211" s="21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3"/>
      <c r="P211" s="24"/>
      <c r="Q211" s="25"/>
      <c r="R211" s="30"/>
    </row>
    <row r="212" spans="1:18" ht="15" customHeight="1" x14ac:dyDescent="0.15">
      <c r="A212" s="1"/>
      <c r="B212" s="17"/>
      <c r="C212" s="21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3"/>
      <c r="P212" s="24"/>
      <c r="Q212" s="25"/>
      <c r="R212" s="29"/>
    </row>
    <row r="213" spans="1:18" ht="15" customHeight="1" x14ac:dyDescent="0.15">
      <c r="A213" s="1"/>
      <c r="B213" s="17"/>
      <c r="C213" s="21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3"/>
      <c r="P213" s="24"/>
      <c r="Q213" s="25"/>
      <c r="R213" s="31"/>
    </row>
    <row r="214" spans="1:18" ht="15" customHeight="1" x14ac:dyDescent="0.15">
      <c r="A214" s="1"/>
      <c r="B214" s="17"/>
      <c r="C214" s="21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3"/>
      <c r="P214" s="24"/>
      <c r="Q214" s="25"/>
      <c r="R214" s="29"/>
    </row>
    <row r="215" spans="1:18" ht="15" customHeight="1" x14ac:dyDescent="0.15">
      <c r="A215" s="1"/>
      <c r="B215" s="17"/>
      <c r="C215" s="21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3"/>
      <c r="P215" s="24"/>
      <c r="Q215" s="25"/>
      <c r="R215" s="31"/>
    </row>
    <row r="216" spans="1:18" ht="15" customHeight="1" x14ac:dyDescent="0.15">
      <c r="A216" s="1"/>
      <c r="B216" s="17"/>
      <c r="C216" s="21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3"/>
      <c r="P216" s="24"/>
      <c r="Q216" s="25"/>
      <c r="R216" s="29"/>
    </row>
    <row r="217" spans="1:18" ht="15" customHeight="1" x14ac:dyDescent="0.15">
      <c r="A217" s="1"/>
      <c r="B217" s="17"/>
      <c r="C217" s="21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3"/>
      <c r="P217" s="24"/>
      <c r="Q217" s="25"/>
      <c r="R217" s="28"/>
    </row>
    <row r="218" spans="1:18" ht="15" customHeight="1" x14ac:dyDescent="0.15">
      <c r="A218" s="1"/>
      <c r="B218" s="17"/>
      <c r="C218" s="21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3"/>
      <c r="P218" s="24"/>
      <c r="Q218" s="25"/>
      <c r="R218" s="29"/>
    </row>
    <row r="219" spans="1:18" ht="15" customHeight="1" x14ac:dyDescent="0.15">
      <c r="A219" s="1"/>
      <c r="B219" s="17"/>
      <c r="C219" s="21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3"/>
      <c r="P219" s="24"/>
      <c r="Q219" s="25"/>
      <c r="R219" s="30"/>
    </row>
    <row r="220" spans="1:18" ht="15" customHeight="1" x14ac:dyDescent="0.15">
      <c r="A220" s="1"/>
      <c r="B220" s="17"/>
      <c r="C220" s="21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3"/>
      <c r="P220" s="24"/>
      <c r="Q220" s="25"/>
      <c r="R220" s="31"/>
    </row>
    <row r="221" spans="1:18" ht="15" customHeight="1" x14ac:dyDescent="0.15">
      <c r="A221" s="1"/>
      <c r="B221" s="17"/>
      <c r="C221" s="21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3"/>
      <c r="P221" s="24"/>
      <c r="Q221" s="25"/>
      <c r="R221" s="29"/>
    </row>
    <row r="222" spans="1:18" ht="15" customHeight="1" x14ac:dyDescent="0.15">
      <c r="A222" s="1"/>
      <c r="B222" s="17"/>
      <c r="C222" s="21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3"/>
      <c r="P222" s="24"/>
      <c r="Q222" s="25"/>
      <c r="R222" s="28"/>
    </row>
    <row r="223" spans="1:18" ht="15" customHeight="1" x14ac:dyDescent="0.15">
      <c r="A223" s="1"/>
      <c r="B223" s="17"/>
      <c r="C223" s="21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3"/>
      <c r="P223" s="24"/>
      <c r="Q223" s="25"/>
      <c r="R223" s="30"/>
    </row>
    <row r="224" spans="1:18" ht="15" customHeight="1" x14ac:dyDescent="0.15">
      <c r="A224" s="1"/>
      <c r="B224" s="17"/>
      <c r="C224" s="21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3"/>
      <c r="P224" s="24"/>
      <c r="Q224" s="25"/>
      <c r="R224" s="29"/>
    </row>
    <row r="225" spans="1:18" ht="15" customHeight="1" x14ac:dyDescent="0.15">
      <c r="A225" s="1"/>
      <c r="B225" s="17"/>
      <c r="C225" s="21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3"/>
      <c r="P225" s="24"/>
      <c r="Q225" s="25"/>
      <c r="R225" s="30"/>
    </row>
    <row r="226" spans="1:18" ht="15" customHeight="1" x14ac:dyDescent="0.15">
      <c r="A226" s="1"/>
      <c r="B226" s="17"/>
      <c r="C226" s="21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3"/>
      <c r="P226" s="24"/>
      <c r="Q226" s="25"/>
      <c r="R226" s="29"/>
    </row>
    <row r="227" spans="1:18" ht="15" customHeight="1" x14ac:dyDescent="0.15">
      <c r="A227" s="1"/>
      <c r="B227" s="17"/>
      <c r="C227" s="21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3"/>
      <c r="P227" s="24"/>
      <c r="Q227" s="25"/>
      <c r="R227" s="31"/>
    </row>
    <row r="228" spans="1:18" ht="15" customHeight="1" x14ac:dyDescent="0.15">
      <c r="A228" s="1"/>
      <c r="B228" s="17"/>
      <c r="C228" s="21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3"/>
      <c r="P228" s="24"/>
      <c r="Q228" s="25"/>
      <c r="R228" s="29"/>
    </row>
    <row r="229" spans="1:18" ht="15" customHeight="1" x14ac:dyDescent="0.15">
      <c r="A229" s="1"/>
      <c r="B229" s="17"/>
      <c r="C229" s="21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3"/>
      <c r="P229" s="24"/>
      <c r="Q229" s="25"/>
      <c r="R229" s="31"/>
    </row>
    <row r="230" spans="1:18" ht="15" customHeight="1" x14ac:dyDescent="0.15">
      <c r="A230" s="1"/>
      <c r="B230" s="17"/>
      <c r="C230" s="21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3"/>
      <c r="P230" s="24"/>
      <c r="Q230" s="25"/>
      <c r="R230" s="29"/>
    </row>
    <row r="231" spans="1:18" ht="15" customHeight="1" x14ac:dyDescent="0.15">
      <c r="A231" s="1"/>
      <c r="B231" s="17"/>
      <c r="C231" s="21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3"/>
      <c r="P231" s="24"/>
      <c r="Q231" s="25"/>
      <c r="R231" s="28"/>
    </row>
    <row r="232" spans="1:18" ht="15" customHeight="1" x14ac:dyDescent="0.15">
      <c r="A232" s="1"/>
      <c r="B232" s="17"/>
      <c r="C232" s="21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3"/>
      <c r="P232" s="24"/>
      <c r="Q232" s="25"/>
      <c r="R232" s="29"/>
    </row>
    <row r="233" spans="1:18" ht="15" customHeight="1" x14ac:dyDescent="0.15">
      <c r="A233" s="1"/>
      <c r="B233" s="17"/>
      <c r="C233" s="21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3"/>
      <c r="P233" s="24"/>
      <c r="Q233" s="25"/>
      <c r="R233" s="30"/>
    </row>
    <row r="234" spans="1:18" ht="15" customHeight="1" x14ac:dyDescent="0.15">
      <c r="A234" s="1"/>
      <c r="B234" s="17"/>
      <c r="C234" s="21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3"/>
      <c r="P234" s="24"/>
      <c r="Q234" s="25"/>
      <c r="R234" s="29"/>
    </row>
    <row r="235" spans="1:18" ht="15" customHeight="1" x14ac:dyDescent="0.15">
      <c r="A235" s="1"/>
      <c r="B235" s="17"/>
      <c r="C235" s="21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3"/>
      <c r="P235" s="24"/>
      <c r="Q235" s="25"/>
      <c r="R235" s="31"/>
    </row>
    <row r="236" spans="1:18" ht="15" customHeight="1" x14ac:dyDescent="0.15">
      <c r="A236" s="1"/>
      <c r="B236" s="17"/>
      <c r="C236" s="21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3"/>
      <c r="P236" s="24"/>
      <c r="Q236" s="25"/>
      <c r="R236" s="29"/>
    </row>
    <row r="237" spans="1:18" ht="15" customHeight="1" x14ac:dyDescent="0.15">
      <c r="A237" s="1"/>
      <c r="B237" s="17"/>
      <c r="C237" s="21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3"/>
      <c r="P237" s="24"/>
      <c r="Q237" s="25"/>
      <c r="R237" s="28"/>
    </row>
    <row r="238" spans="1:18" ht="15" customHeight="1" x14ac:dyDescent="0.15">
      <c r="A238" s="1"/>
      <c r="B238" s="17"/>
      <c r="C238" s="21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3"/>
      <c r="P238" s="24"/>
      <c r="Q238" s="25"/>
      <c r="R238" s="29"/>
    </row>
    <row r="239" spans="1:18" ht="15" customHeight="1" x14ac:dyDescent="0.15">
      <c r="A239" s="1"/>
      <c r="B239" s="17"/>
      <c r="C239" s="21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3"/>
      <c r="P239" s="24"/>
      <c r="Q239" s="25"/>
      <c r="R239" s="30"/>
    </row>
    <row r="240" spans="1:18" ht="15" customHeight="1" x14ac:dyDescent="0.15">
      <c r="A240" s="1"/>
      <c r="B240" s="17"/>
      <c r="C240" s="21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3"/>
      <c r="P240" s="24"/>
      <c r="Q240" s="25"/>
      <c r="R240" s="29"/>
    </row>
    <row r="241" spans="1:18" ht="15" customHeight="1" x14ac:dyDescent="0.15">
      <c r="A241" s="1"/>
      <c r="B241" s="17"/>
      <c r="C241" s="21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3"/>
      <c r="P241" s="24"/>
      <c r="Q241" s="25"/>
      <c r="R241" s="30"/>
    </row>
    <row r="242" spans="1:18" ht="15" customHeight="1" x14ac:dyDescent="0.15">
      <c r="A242" s="1"/>
      <c r="B242" s="17"/>
      <c r="C242" s="21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3"/>
      <c r="P242" s="24"/>
      <c r="Q242" s="25"/>
      <c r="R242" s="29"/>
    </row>
    <row r="243" spans="1:18" ht="15" customHeight="1" x14ac:dyDescent="0.15">
      <c r="A243" s="1"/>
      <c r="B243" s="17"/>
      <c r="C243" s="21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3"/>
      <c r="P243" s="24"/>
      <c r="Q243" s="25"/>
      <c r="R243" s="31"/>
    </row>
    <row r="244" spans="1:18" ht="15" customHeight="1" x14ac:dyDescent="0.15">
      <c r="A244" s="1"/>
      <c r="B244" s="17"/>
      <c r="C244" s="21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3"/>
      <c r="P244" s="24"/>
      <c r="Q244" s="25"/>
      <c r="R244" s="29"/>
    </row>
    <row r="245" spans="1:18" ht="15" customHeight="1" x14ac:dyDescent="0.15">
      <c r="A245" s="1"/>
      <c r="B245" s="17"/>
      <c r="C245" s="21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3"/>
      <c r="P245" s="24"/>
      <c r="Q245" s="25"/>
      <c r="R245" s="31"/>
    </row>
    <row r="246" spans="1:18" ht="15" customHeight="1" x14ac:dyDescent="0.15">
      <c r="A246" s="1"/>
      <c r="B246" s="17"/>
      <c r="C246" s="21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3"/>
      <c r="P246" s="24"/>
      <c r="Q246" s="25"/>
      <c r="R246" s="28"/>
    </row>
    <row r="247" spans="1:18" ht="15" customHeight="1" x14ac:dyDescent="0.15">
      <c r="A247" s="1"/>
      <c r="B247" s="17"/>
      <c r="C247" s="21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3"/>
      <c r="P247" s="24"/>
      <c r="Q247" s="25"/>
      <c r="R247" s="29"/>
    </row>
    <row r="248" spans="1:18" ht="15" customHeight="1" x14ac:dyDescent="0.15">
      <c r="A248" s="1"/>
      <c r="B248" s="17"/>
      <c r="C248" s="21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3"/>
      <c r="P248" s="24"/>
      <c r="Q248" s="25"/>
      <c r="R248" s="30"/>
    </row>
    <row r="249" spans="1:18" ht="15" customHeight="1" x14ac:dyDescent="0.15">
      <c r="A249" s="1"/>
      <c r="B249" s="17"/>
      <c r="C249" s="21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3"/>
      <c r="P249" s="24"/>
      <c r="Q249" s="25"/>
      <c r="R249" s="31"/>
    </row>
    <row r="250" spans="1:18" ht="15" customHeight="1" x14ac:dyDescent="0.15">
      <c r="A250" s="1"/>
      <c r="B250" s="17"/>
      <c r="C250" s="21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3"/>
      <c r="P250" s="24"/>
      <c r="Q250" s="25"/>
      <c r="R250" s="29"/>
    </row>
    <row r="251" spans="1:18" ht="15" customHeight="1" x14ac:dyDescent="0.15">
      <c r="A251" s="1"/>
      <c r="B251" s="17"/>
      <c r="C251" s="21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3"/>
      <c r="P251" s="24"/>
      <c r="Q251" s="25"/>
      <c r="R251" s="28"/>
    </row>
    <row r="252" spans="1:18" ht="15" customHeight="1" x14ac:dyDescent="0.15">
      <c r="A252" s="1"/>
      <c r="B252" s="17"/>
      <c r="C252" s="21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3"/>
      <c r="P252" s="24"/>
      <c r="Q252" s="25"/>
      <c r="R252" s="30"/>
    </row>
    <row r="253" spans="1:18" ht="15" customHeight="1" x14ac:dyDescent="0.15">
      <c r="A253" s="1"/>
      <c r="B253" s="17"/>
      <c r="C253" s="21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3"/>
      <c r="P253" s="24"/>
      <c r="Q253" s="25"/>
      <c r="R253" s="29"/>
    </row>
    <row r="254" spans="1:18" ht="15" customHeight="1" x14ac:dyDescent="0.15">
      <c r="A254" s="1"/>
      <c r="B254" s="17"/>
      <c r="C254" s="21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3"/>
      <c r="P254" s="24"/>
      <c r="Q254" s="25"/>
      <c r="R254" s="30"/>
    </row>
    <row r="255" spans="1:18" ht="15" customHeight="1" x14ac:dyDescent="0.15">
      <c r="A255" s="1"/>
      <c r="B255" s="17"/>
      <c r="C255" s="21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3"/>
      <c r="P255" s="24"/>
      <c r="Q255" s="25"/>
      <c r="R255" s="29"/>
    </row>
    <row r="256" spans="1:18" ht="15" customHeight="1" x14ac:dyDescent="0.15">
      <c r="A256" s="1"/>
      <c r="B256" s="17"/>
      <c r="C256" s="21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3"/>
      <c r="P256" s="24"/>
      <c r="Q256" s="25"/>
      <c r="R256" s="31"/>
    </row>
    <row r="257" spans="1:18" ht="15" customHeight="1" x14ac:dyDescent="0.15">
      <c r="A257" s="1"/>
      <c r="B257" s="17"/>
      <c r="C257" s="21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3"/>
      <c r="P257" s="24"/>
      <c r="Q257" s="25"/>
      <c r="R257" s="31"/>
    </row>
    <row r="258" spans="1:18" ht="15" customHeight="1" x14ac:dyDescent="0.15">
      <c r="A258" s="1"/>
      <c r="B258" s="17"/>
      <c r="C258" s="21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3"/>
      <c r="P258" s="24"/>
      <c r="Q258" s="25"/>
      <c r="R258" s="28"/>
    </row>
    <row r="259" spans="1:18" ht="15" customHeight="1" x14ac:dyDescent="0.15">
      <c r="A259" s="1"/>
      <c r="B259" s="17"/>
      <c r="C259" s="21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3"/>
      <c r="P259" s="24"/>
      <c r="Q259" s="25"/>
      <c r="R259" s="28"/>
    </row>
    <row r="260" spans="1:18" ht="15" customHeight="1" x14ac:dyDescent="0.15">
      <c r="A260" s="1"/>
      <c r="B260" s="17"/>
      <c r="C260" s="21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3"/>
      <c r="P260" s="24"/>
      <c r="Q260" s="25"/>
      <c r="R260" s="30"/>
    </row>
    <row r="261" spans="1:18" ht="15" customHeight="1" x14ac:dyDescent="0.15">
      <c r="A261" s="1"/>
      <c r="B261" s="17"/>
      <c r="C261" s="21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3"/>
      <c r="P261" s="24"/>
      <c r="Q261" s="25"/>
      <c r="R261" s="29"/>
    </row>
    <row r="262" spans="1:18" ht="15" customHeight="1" x14ac:dyDescent="0.15">
      <c r="A262" s="1"/>
      <c r="B262" s="17"/>
      <c r="C262" s="21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3"/>
      <c r="P262" s="24"/>
      <c r="Q262" s="25"/>
      <c r="R262" s="30"/>
    </row>
    <row r="263" spans="1:18" ht="15" customHeight="1" x14ac:dyDescent="0.15">
      <c r="A263" s="1"/>
      <c r="B263" s="17"/>
      <c r="C263" s="21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3"/>
      <c r="P263" s="24"/>
      <c r="Q263" s="25"/>
      <c r="R263" s="29"/>
    </row>
    <row r="264" spans="1:18" ht="15" customHeight="1" x14ac:dyDescent="0.15">
      <c r="A264" s="1"/>
      <c r="B264" s="17"/>
      <c r="C264" s="21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3"/>
      <c r="P264" s="24"/>
      <c r="Q264" s="25"/>
      <c r="R264" s="31"/>
    </row>
    <row r="265" spans="1:18" ht="15" customHeight="1" x14ac:dyDescent="0.15">
      <c r="A265" s="1"/>
      <c r="B265" s="17"/>
      <c r="C265" s="21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3"/>
      <c r="P265" s="24"/>
      <c r="Q265" s="25"/>
      <c r="R265" s="29"/>
    </row>
    <row r="266" spans="1:18" ht="15" customHeight="1" x14ac:dyDescent="0.15">
      <c r="A266" s="1"/>
      <c r="B266" s="17"/>
      <c r="C266" s="21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3"/>
      <c r="P266" s="24"/>
      <c r="Q266" s="25"/>
      <c r="R266" s="31"/>
    </row>
    <row r="267" spans="1:18" ht="15" customHeight="1" x14ac:dyDescent="0.15">
      <c r="A267" s="1"/>
      <c r="B267" s="17"/>
      <c r="C267" s="21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3"/>
      <c r="P267" s="24"/>
      <c r="Q267" s="25"/>
      <c r="R267" s="29"/>
    </row>
    <row r="268" spans="1:18" ht="15" customHeight="1" x14ac:dyDescent="0.15">
      <c r="A268" s="1"/>
      <c r="B268" s="17"/>
      <c r="C268" s="21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3"/>
      <c r="P268" s="24"/>
      <c r="Q268" s="25"/>
      <c r="R268" s="28"/>
    </row>
    <row r="269" spans="1:18" ht="15" customHeight="1" x14ac:dyDescent="0.15">
      <c r="A269" s="1"/>
      <c r="B269" s="17"/>
      <c r="C269" s="21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3"/>
      <c r="P269" s="24"/>
      <c r="Q269" s="25"/>
      <c r="R269" s="28"/>
    </row>
    <row r="270" spans="1:18" ht="15" customHeight="1" x14ac:dyDescent="0.15">
      <c r="A270" s="1"/>
      <c r="B270" s="17"/>
      <c r="C270" s="21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3"/>
      <c r="P270" s="24"/>
      <c r="Q270" s="25"/>
      <c r="R270" s="28"/>
    </row>
    <row r="271" spans="1:18" ht="15" customHeight="1" x14ac:dyDescent="0.15">
      <c r="A271" s="1"/>
      <c r="B271" s="17"/>
      <c r="C271" s="21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3"/>
      <c r="P271" s="24"/>
      <c r="Q271" s="25"/>
      <c r="R271" s="29"/>
    </row>
    <row r="272" spans="1:18" ht="15" customHeight="1" x14ac:dyDescent="0.15">
      <c r="A272" s="1"/>
      <c r="B272" s="17"/>
      <c r="C272" s="21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3"/>
      <c r="P272" s="24"/>
      <c r="Q272" s="25"/>
      <c r="R272" s="30"/>
    </row>
    <row r="273" spans="1:18" ht="15" customHeight="1" x14ac:dyDescent="0.15">
      <c r="A273" s="1"/>
      <c r="B273" s="17"/>
      <c r="C273" s="21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3"/>
      <c r="P273" s="24"/>
      <c r="Q273" s="25"/>
      <c r="R273" s="29"/>
    </row>
    <row r="274" spans="1:18" ht="15" customHeight="1" x14ac:dyDescent="0.15">
      <c r="A274" s="1"/>
      <c r="B274" s="17"/>
      <c r="C274" s="21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3"/>
      <c r="P274" s="24"/>
      <c r="Q274" s="25"/>
      <c r="R274" s="31"/>
    </row>
    <row r="275" spans="1:18" ht="15" customHeight="1" x14ac:dyDescent="0.15">
      <c r="A275" s="1"/>
      <c r="B275" s="17"/>
      <c r="C275" s="21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3"/>
      <c r="P275" s="24"/>
      <c r="Q275" s="25"/>
      <c r="R275" s="29"/>
    </row>
    <row r="276" spans="1:18" ht="15" customHeight="1" x14ac:dyDescent="0.15">
      <c r="A276" s="1"/>
      <c r="B276" s="17"/>
      <c r="C276" s="21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3"/>
      <c r="P276" s="24"/>
      <c r="Q276" s="25"/>
      <c r="R276" s="28"/>
    </row>
    <row r="277" spans="1:18" ht="15" customHeight="1" x14ac:dyDescent="0.15">
      <c r="A277" s="1"/>
      <c r="B277" s="17"/>
      <c r="C277" s="21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3"/>
      <c r="P277" s="24"/>
      <c r="Q277" s="25"/>
      <c r="R277" s="29"/>
    </row>
    <row r="278" spans="1:18" ht="15" customHeight="1" x14ac:dyDescent="0.15">
      <c r="A278" s="1"/>
      <c r="B278" s="17"/>
      <c r="C278" s="21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3"/>
      <c r="P278" s="24"/>
      <c r="Q278" s="25"/>
      <c r="R278" s="30"/>
    </row>
    <row r="279" spans="1:18" ht="15" customHeight="1" x14ac:dyDescent="0.15">
      <c r="A279" s="1"/>
      <c r="B279" s="17"/>
      <c r="C279" s="21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3"/>
      <c r="P279" s="24"/>
      <c r="Q279" s="25"/>
      <c r="R279" s="29"/>
    </row>
    <row r="280" spans="1:18" ht="15" customHeight="1" x14ac:dyDescent="0.15">
      <c r="A280" s="1"/>
      <c r="B280" s="17"/>
      <c r="C280" s="21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3"/>
      <c r="P280" s="24"/>
      <c r="Q280" s="25"/>
      <c r="R280" s="31"/>
    </row>
    <row r="281" spans="1:18" ht="15" customHeight="1" x14ac:dyDescent="0.15">
      <c r="A281" s="1"/>
      <c r="B281" s="17"/>
      <c r="C281" s="21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3"/>
      <c r="P281" s="24"/>
      <c r="Q281" s="25"/>
      <c r="R281" s="28"/>
    </row>
    <row r="282" spans="1:18" ht="15" customHeight="1" x14ac:dyDescent="0.15">
      <c r="A282" s="1"/>
      <c r="B282" s="17"/>
      <c r="C282" s="21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3"/>
      <c r="P282" s="24"/>
      <c r="Q282" s="25"/>
      <c r="R282" s="29"/>
    </row>
    <row r="283" spans="1:18" ht="15" customHeight="1" x14ac:dyDescent="0.15">
      <c r="A283" s="1"/>
      <c r="B283" s="17"/>
      <c r="C283" s="21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3"/>
      <c r="P283" s="24"/>
      <c r="Q283" s="25"/>
      <c r="R283" s="30"/>
    </row>
    <row r="284" spans="1:18" ht="15" customHeight="1" x14ac:dyDescent="0.15">
      <c r="A284" s="1"/>
      <c r="B284" s="17"/>
      <c r="C284" s="21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3"/>
      <c r="P284" s="24"/>
      <c r="Q284" s="25"/>
      <c r="R284" s="29"/>
    </row>
    <row r="285" spans="1:18" ht="15" customHeight="1" x14ac:dyDescent="0.15">
      <c r="A285" s="1"/>
      <c r="B285" s="17"/>
      <c r="C285" s="21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3"/>
      <c r="P285" s="24"/>
      <c r="Q285" s="25"/>
      <c r="R285" s="30"/>
    </row>
    <row r="286" spans="1:18" ht="15" customHeight="1" x14ac:dyDescent="0.15">
      <c r="A286" s="1"/>
      <c r="B286" s="17"/>
      <c r="C286" s="21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3"/>
      <c r="P286" s="24"/>
      <c r="Q286" s="25"/>
      <c r="R286" s="29"/>
    </row>
    <row r="287" spans="1:18" ht="15" customHeight="1" x14ac:dyDescent="0.15">
      <c r="A287" s="1"/>
      <c r="B287" s="17"/>
      <c r="C287" s="21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3"/>
      <c r="P287" s="24"/>
      <c r="Q287" s="25"/>
      <c r="R287" s="31"/>
    </row>
    <row r="288" spans="1:18" ht="15" customHeight="1" x14ac:dyDescent="0.15">
      <c r="A288" s="1"/>
      <c r="B288" s="17"/>
      <c r="C288" s="21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3"/>
      <c r="P288" s="24"/>
      <c r="Q288" s="25"/>
      <c r="R288" s="28"/>
    </row>
    <row r="289" spans="1:18" ht="15" customHeight="1" x14ac:dyDescent="0.15">
      <c r="A289" s="1"/>
      <c r="B289" s="17"/>
      <c r="C289" s="21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3"/>
      <c r="P289" s="24"/>
      <c r="Q289" s="25"/>
      <c r="R289" s="29"/>
    </row>
    <row r="290" spans="1:18" ht="15" customHeight="1" x14ac:dyDescent="0.15">
      <c r="A290" s="1"/>
      <c r="B290" s="17"/>
      <c r="C290" s="21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3"/>
      <c r="P290" s="24"/>
      <c r="Q290" s="25"/>
      <c r="R290" s="30"/>
    </row>
    <row r="291" spans="1:18" ht="15" customHeight="1" x14ac:dyDescent="0.15">
      <c r="A291" s="1"/>
      <c r="B291" s="17"/>
      <c r="C291" s="21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3"/>
      <c r="P291" s="24"/>
      <c r="Q291" s="25"/>
      <c r="R291" s="29"/>
    </row>
    <row r="292" spans="1:18" ht="15" customHeight="1" x14ac:dyDescent="0.15">
      <c r="A292" s="1"/>
      <c r="B292" s="17"/>
      <c r="C292" s="21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3"/>
      <c r="P292" s="24"/>
      <c r="Q292" s="25"/>
      <c r="R292" s="31"/>
    </row>
    <row r="293" spans="1:18" ht="15" customHeight="1" x14ac:dyDescent="0.15">
      <c r="A293" s="1"/>
      <c r="B293" s="17"/>
      <c r="C293" s="21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3"/>
      <c r="P293" s="24"/>
      <c r="Q293" s="25"/>
      <c r="R293" s="28"/>
    </row>
    <row r="294" spans="1:18" ht="15" customHeight="1" x14ac:dyDescent="0.15">
      <c r="A294" s="1"/>
      <c r="B294" s="17"/>
      <c r="C294" s="21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3"/>
      <c r="P294" s="24"/>
      <c r="Q294" s="25"/>
      <c r="R294" s="28"/>
    </row>
    <row r="295" spans="1:18" ht="15" customHeight="1" x14ac:dyDescent="0.15">
      <c r="A295" s="1"/>
      <c r="B295" s="17"/>
      <c r="C295" s="21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3"/>
      <c r="P295" s="24"/>
      <c r="Q295" s="25"/>
      <c r="R295" s="29"/>
    </row>
    <row r="296" spans="1:18" ht="15" customHeight="1" x14ac:dyDescent="0.15">
      <c r="A296" s="1"/>
      <c r="B296" s="17"/>
      <c r="C296" s="21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3"/>
      <c r="P296" s="24"/>
      <c r="Q296" s="25"/>
      <c r="R296" s="30"/>
    </row>
    <row r="297" spans="1:18" ht="15" customHeight="1" x14ac:dyDescent="0.15">
      <c r="A297" s="1"/>
      <c r="B297" s="17"/>
      <c r="C297" s="21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3"/>
      <c r="P297" s="24"/>
      <c r="Q297" s="25"/>
      <c r="R297" s="29"/>
    </row>
    <row r="298" spans="1:18" ht="15" customHeight="1" x14ac:dyDescent="0.15">
      <c r="A298" s="1"/>
      <c r="B298" s="17"/>
      <c r="C298" s="21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3"/>
      <c r="P298" s="24"/>
      <c r="Q298" s="25"/>
      <c r="R298" s="31"/>
    </row>
    <row r="299" spans="1:18" ht="15" customHeight="1" x14ac:dyDescent="0.15">
      <c r="A299" s="1"/>
      <c r="B299" s="17"/>
      <c r="C299" s="21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3"/>
      <c r="P299" s="24"/>
      <c r="Q299" s="25"/>
      <c r="R299" s="28"/>
    </row>
    <row r="300" spans="1:18" ht="15" customHeight="1" x14ac:dyDescent="0.15">
      <c r="A300" s="1"/>
      <c r="B300" s="17"/>
      <c r="C300" s="21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3"/>
      <c r="P300" s="24"/>
      <c r="Q300" s="25"/>
      <c r="R300" s="29"/>
    </row>
    <row r="301" spans="1:18" ht="15" customHeight="1" x14ac:dyDescent="0.15">
      <c r="A301" s="1"/>
      <c r="B301" s="17"/>
      <c r="C301" s="21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3"/>
      <c r="P301" s="24"/>
      <c r="Q301" s="25"/>
      <c r="R301" s="30"/>
    </row>
    <row r="302" spans="1:18" ht="15" customHeight="1" x14ac:dyDescent="0.15">
      <c r="A302" s="1"/>
      <c r="B302" s="17"/>
      <c r="C302" s="21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3"/>
      <c r="P302" s="24"/>
      <c r="Q302" s="25"/>
      <c r="R302" s="29"/>
    </row>
    <row r="303" spans="1:18" ht="15" customHeight="1" x14ac:dyDescent="0.15">
      <c r="A303" s="1"/>
      <c r="B303" s="17"/>
      <c r="C303" s="21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3"/>
      <c r="P303" s="24"/>
      <c r="Q303" s="25"/>
      <c r="R303" s="31"/>
    </row>
    <row r="304" spans="1:18" ht="15" customHeight="1" x14ac:dyDescent="0.15">
      <c r="A304" s="1"/>
      <c r="B304" s="17"/>
      <c r="C304" s="21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3"/>
      <c r="P304" s="24"/>
      <c r="Q304" s="25"/>
      <c r="R304" s="29"/>
    </row>
    <row r="305" spans="1:18" ht="15" customHeight="1" x14ac:dyDescent="0.15">
      <c r="A305" s="1"/>
      <c r="B305" s="17"/>
      <c r="C305" s="21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3"/>
      <c r="P305" s="24"/>
      <c r="Q305" s="25"/>
      <c r="R305" s="28"/>
    </row>
    <row r="306" spans="1:18" ht="15" customHeight="1" x14ac:dyDescent="0.15">
      <c r="A306" s="1"/>
      <c r="B306" s="17"/>
      <c r="C306" s="21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3"/>
      <c r="P306" s="24"/>
      <c r="Q306" s="25"/>
      <c r="R306" s="29"/>
    </row>
    <row r="307" spans="1:18" ht="15" customHeight="1" x14ac:dyDescent="0.15">
      <c r="A307" s="1"/>
      <c r="B307" s="17"/>
      <c r="C307" s="21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3"/>
      <c r="P307" s="24"/>
      <c r="Q307" s="25"/>
      <c r="R307" s="30"/>
    </row>
    <row r="308" spans="1:18" ht="15" customHeight="1" x14ac:dyDescent="0.15">
      <c r="A308" s="1"/>
      <c r="B308" s="17"/>
      <c r="C308" s="21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3"/>
      <c r="P308" s="24"/>
      <c r="Q308" s="25"/>
      <c r="R308" s="29"/>
    </row>
    <row r="309" spans="1:18" ht="15" customHeight="1" x14ac:dyDescent="0.15">
      <c r="A309" s="1"/>
      <c r="B309" s="17"/>
      <c r="C309" s="21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3"/>
      <c r="P309" s="24"/>
      <c r="Q309" s="25"/>
      <c r="R309" s="30"/>
    </row>
    <row r="310" spans="1:18" ht="15" customHeight="1" x14ac:dyDescent="0.15">
      <c r="A310" s="1"/>
      <c r="B310" s="17"/>
      <c r="C310" s="21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3"/>
      <c r="P310" s="24"/>
      <c r="Q310" s="25"/>
      <c r="R310" s="29"/>
    </row>
    <row r="311" spans="1:18" ht="15" customHeight="1" x14ac:dyDescent="0.15">
      <c r="A311" s="1"/>
      <c r="B311" s="17"/>
      <c r="C311" s="21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3"/>
      <c r="P311" s="24"/>
      <c r="Q311" s="25"/>
      <c r="R311" s="31"/>
    </row>
    <row r="312" spans="1:18" ht="15" customHeight="1" x14ac:dyDescent="0.15">
      <c r="A312" s="1"/>
      <c r="B312" s="17"/>
      <c r="C312" s="21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3"/>
      <c r="P312" s="24"/>
      <c r="Q312" s="25"/>
      <c r="R312" s="29"/>
    </row>
    <row r="313" spans="1:18" ht="15" customHeight="1" x14ac:dyDescent="0.15">
      <c r="A313" s="1"/>
      <c r="B313" s="17"/>
      <c r="C313" s="21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3"/>
      <c r="P313" s="24"/>
      <c r="Q313" s="25"/>
      <c r="R313" s="31"/>
    </row>
    <row r="314" spans="1:18" ht="15" customHeight="1" x14ac:dyDescent="0.15">
      <c r="A314" s="1"/>
      <c r="B314" s="17"/>
      <c r="C314" s="21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3"/>
      <c r="P314" s="24"/>
      <c r="Q314" s="25"/>
      <c r="R314" s="29"/>
    </row>
    <row r="315" spans="1:18" ht="15" customHeight="1" x14ac:dyDescent="0.15">
      <c r="A315" s="1"/>
      <c r="B315" s="17"/>
      <c r="C315" s="21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3"/>
      <c r="P315" s="24"/>
      <c r="Q315" s="25"/>
      <c r="R315" s="28"/>
    </row>
    <row r="316" spans="1:18" ht="15" customHeight="1" x14ac:dyDescent="0.15">
      <c r="A316" s="1"/>
      <c r="B316" s="17"/>
      <c r="C316" s="21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3"/>
      <c r="P316" s="24"/>
      <c r="Q316" s="25"/>
      <c r="R316" s="28"/>
    </row>
    <row r="317" spans="1:18" ht="15" customHeight="1" x14ac:dyDescent="0.15">
      <c r="A317" s="1"/>
      <c r="B317" s="17"/>
      <c r="C317" s="21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3"/>
      <c r="P317" s="24"/>
      <c r="Q317" s="25"/>
      <c r="R317" s="29"/>
    </row>
    <row r="318" spans="1:18" ht="15" customHeight="1" x14ac:dyDescent="0.15">
      <c r="A318" s="1"/>
      <c r="B318" s="17"/>
      <c r="C318" s="21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3"/>
      <c r="P318" s="24"/>
      <c r="Q318" s="25"/>
      <c r="R318" s="30"/>
    </row>
    <row r="319" spans="1:18" ht="15" customHeight="1" x14ac:dyDescent="0.15">
      <c r="A319" s="1"/>
      <c r="B319" s="17"/>
      <c r="C319" s="21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3"/>
      <c r="P319" s="24"/>
      <c r="Q319" s="25"/>
      <c r="R319" s="29"/>
    </row>
    <row r="320" spans="1:18" ht="15" customHeight="1" x14ac:dyDescent="0.15">
      <c r="A320" s="1"/>
      <c r="B320" s="17"/>
      <c r="C320" s="21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3"/>
      <c r="P320" s="24"/>
      <c r="Q320" s="25"/>
      <c r="R320" s="31"/>
    </row>
    <row r="321" spans="1:18" ht="15" customHeight="1" x14ac:dyDescent="0.15">
      <c r="A321" s="1"/>
      <c r="B321" s="17"/>
      <c r="C321" s="21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3"/>
      <c r="P321" s="24"/>
      <c r="Q321" s="25"/>
      <c r="R321" s="28"/>
    </row>
    <row r="322" spans="1:18" ht="15" customHeight="1" x14ac:dyDescent="0.15">
      <c r="A322" s="1"/>
      <c r="B322" s="17"/>
      <c r="C322" s="21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3"/>
      <c r="P322" s="24"/>
      <c r="Q322" s="25"/>
      <c r="R322" s="29"/>
    </row>
    <row r="323" spans="1:18" ht="15" customHeight="1" x14ac:dyDescent="0.15">
      <c r="A323" s="1"/>
      <c r="B323" s="17"/>
      <c r="C323" s="21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3"/>
      <c r="P323" s="24"/>
      <c r="Q323" s="25"/>
      <c r="R323" s="30"/>
    </row>
    <row r="324" spans="1:18" ht="15" customHeight="1" x14ac:dyDescent="0.15">
      <c r="A324" s="1"/>
      <c r="B324" s="17"/>
      <c r="C324" s="21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3"/>
      <c r="P324" s="24"/>
      <c r="Q324" s="25"/>
      <c r="R324" s="29"/>
    </row>
    <row r="325" spans="1:18" ht="15" customHeight="1" x14ac:dyDescent="0.15">
      <c r="A325" s="1"/>
      <c r="B325" s="17"/>
      <c r="C325" s="21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3"/>
      <c r="P325" s="24"/>
      <c r="Q325" s="25"/>
      <c r="R325" s="31"/>
    </row>
    <row r="326" spans="1:18" ht="15" customHeight="1" x14ac:dyDescent="0.15">
      <c r="A326" s="1"/>
      <c r="B326" s="17"/>
      <c r="C326" s="21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3"/>
      <c r="P326" s="24"/>
      <c r="Q326" s="25"/>
      <c r="R326" s="29"/>
    </row>
    <row r="327" spans="1:18" ht="15" customHeight="1" x14ac:dyDescent="0.15">
      <c r="A327" s="1"/>
      <c r="B327" s="17"/>
      <c r="C327" s="21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3"/>
      <c r="P327" s="24"/>
      <c r="Q327" s="25"/>
      <c r="R327" s="28"/>
    </row>
    <row r="328" spans="1:18" ht="15" customHeight="1" x14ac:dyDescent="0.15">
      <c r="A328" s="1"/>
      <c r="B328" s="17"/>
      <c r="C328" s="21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3"/>
      <c r="P328" s="24"/>
      <c r="Q328" s="25"/>
      <c r="R328" s="29"/>
    </row>
    <row r="329" spans="1:18" ht="15" customHeight="1" x14ac:dyDescent="0.15">
      <c r="A329" s="1"/>
      <c r="B329" s="17"/>
      <c r="C329" s="21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3"/>
      <c r="P329" s="24"/>
      <c r="Q329" s="25"/>
      <c r="R329" s="30"/>
    </row>
    <row r="330" spans="1:18" ht="15" customHeight="1" x14ac:dyDescent="0.15">
      <c r="A330" s="1"/>
      <c r="B330" s="17"/>
      <c r="C330" s="21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3"/>
      <c r="P330" s="24"/>
      <c r="Q330" s="25"/>
      <c r="R330" s="29"/>
    </row>
    <row r="331" spans="1:18" ht="15" customHeight="1" x14ac:dyDescent="0.15">
      <c r="A331" s="1"/>
      <c r="B331" s="17"/>
      <c r="C331" s="21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3"/>
      <c r="P331" s="24"/>
      <c r="Q331" s="25"/>
      <c r="R331" s="31"/>
    </row>
    <row r="332" spans="1:18" ht="15" customHeight="1" x14ac:dyDescent="0.15">
      <c r="A332" s="1"/>
      <c r="B332" s="17"/>
      <c r="C332" s="21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3"/>
      <c r="P332" s="24"/>
      <c r="Q332" s="25"/>
      <c r="R332" s="28"/>
    </row>
    <row r="333" spans="1:18" ht="15" customHeight="1" x14ac:dyDescent="0.15">
      <c r="A333" s="1"/>
      <c r="B333" s="17"/>
      <c r="C333" s="21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3"/>
      <c r="P333" s="24"/>
      <c r="Q333" s="25"/>
      <c r="R333" s="29"/>
    </row>
    <row r="334" spans="1:18" ht="15" customHeight="1" x14ac:dyDescent="0.15">
      <c r="A334" s="1"/>
      <c r="B334" s="17"/>
      <c r="C334" s="21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3"/>
      <c r="P334" s="24"/>
      <c r="Q334" s="25"/>
      <c r="R334" s="30"/>
    </row>
    <row r="335" spans="1:18" ht="15" customHeight="1" x14ac:dyDescent="0.15">
      <c r="A335" s="1"/>
      <c r="B335" s="17"/>
      <c r="C335" s="21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3"/>
      <c r="P335" s="24"/>
      <c r="Q335" s="25"/>
      <c r="R335" s="29"/>
    </row>
    <row r="336" spans="1:18" ht="15" customHeight="1" x14ac:dyDescent="0.15">
      <c r="A336" s="1"/>
      <c r="B336" s="17"/>
      <c r="C336" s="21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3"/>
      <c r="P336" s="24"/>
      <c r="Q336" s="25"/>
      <c r="R336" s="31"/>
    </row>
    <row r="337" spans="1:18" ht="15" customHeight="1" x14ac:dyDescent="0.15">
      <c r="A337" s="1"/>
      <c r="B337" s="17"/>
      <c r="C337" s="21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3"/>
      <c r="P337" s="24"/>
      <c r="Q337" s="25"/>
      <c r="R337" s="29"/>
    </row>
    <row r="338" spans="1:18" ht="15" customHeight="1" x14ac:dyDescent="0.15">
      <c r="A338" s="1"/>
      <c r="B338" s="17"/>
      <c r="C338" s="21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3"/>
      <c r="P338" s="24"/>
      <c r="Q338" s="25"/>
      <c r="R338" s="28"/>
    </row>
    <row r="339" spans="1:18" ht="15" customHeight="1" x14ac:dyDescent="0.15">
      <c r="A339" s="1"/>
      <c r="B339" s="17"/>
      <c r="C339" s="21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3"/>
      <c r="P339" s="24"/>
      <c r="Q339" s="25"/>
      <c r="R339" s="28"/>
    </row>
    <row r="340" spans="1:18" ht="15" customHeight="1" x14ac:dyDescent="0.15">
      <c r="A340" s="1"/>
      <c r="B340" s="17"/>
      <c r="C340" s="21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3"/>
      <c r="P340" s="24"/>
      <c r="Q340" s="25"/>
      <c r="R340" s="29"/>
    </row>
    <row r="341" spans="1:18" ht="15" customHeight="1" x14ac:dyDescent="0.15">
      <c r="A341" s="1"/>
      <c r="B341" s="17"/>
      <c r="C341" s="21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3"/>
      <c r="P341" s="24"/>
      <c r="Q341" s="25"/>
      <c r="R341" s="30"/>
    </row>
    <row r="342" spans="1:18" ht="15" customHeight="1" x14ac:dyDescent="0.15">
      <c r="A342" s="1"/>
      <c r="B342" s="17"/>
      <c r="C342" s="21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3"/>
      <c r="P342" s="24"/>
      <c r="Q342" s="25"/>
      <c r="R342" s="29"/>
    </row>
    <row r="343" spans="1:18" ht="15" customHeight="1" x14ac:dyDescent="0.15">
      <c r="A343" s="1"/>
      <c r="B343" s="17"/>
      <c r="C343" s="21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3"/>
      <c r="P343" s="24"/>
      <c r="Q343" s="25"/>
      <c r="R343" s="31"/>
    </row>
    <row r="344" spans="1:18" ht="15" customHeight="1" x14ac:dyDescent="0.15">
      <c r="A344" s="1"/>
      <c r="B344" s="17"/>
      <c r="C344" s="21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3"/>
      <c r="P344" s="24"/>
      <c r="Q344" s="25"/>
      <c r="R344" s="29"/>
    </row>
    <row r="345" spans="1:18" ht="15" customHeight="1" x14ac:dyDescent="0.15">
      <c r="A345" s="1"/>
      <c r="B345" s="17"/>
      <c r="C345" s="21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3"/>
      <c r="P345" s="24"/>
      <c r="Q345" s="25"/>
      <c r="R345" s="28"/>
    </row>
    <row r="346" spans="1:18" ht="15" customHeight="1" x14ac:dyDescent="0.15">
      <c r="A346" s="1"/>
      <c r="B346" s="17"/>
      <c r="C346" s="21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3"/>
      <c r="P346" s="24"/>
      <c r="Q346" s="25"/>
      <c r="R346" s="30"/>
    </row>
    <row r="347" spans="1:18" ht="15" customHeight="1" x14ac:dyDescent="0.15">
      <c r="A347" s="1"/>
      <c r="B347" s="17"/>
      <c r="C347" s="21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3"/>
      <c r="P347" s="24"/>
      <c r="Q347" s="25"/>
      <c r="R347" s="29"/>
    </row>
    <row r="348" spans="1:18" ht="15" customHeight="1" x14ac:dyDescent="0.15">
      <c r="A348" s="1"/>
      <c r="B348" s="17"/>
      <c r="C348" s="21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3"/>
      <c r="P348" s="24"/>
      <c r="Q348" s="25"/>
      <c r="R348" s="28"/>
    </row>
    <row r="349" spans="1:18" ht="15" customHeight="1" x14ac:dyDescent="0.15">
      <c r="A349" s="1"/>
      <c r="B349" s="17"/>
      <c r="C349" s="21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3"/>
      <c r="P349" s="24"/>
      <c r="Q349" s="25"/>
      <c r="R349" s="30"/>
    </row>
    <row r="350" spans="1:18" ht="15" customHeight="1" x14ac:dyDescent="0.15">
      <c r="A350" s="1"/>
      <c r="B350" s="17"/>
      <c r="C350" s="21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3"/>
      <c r="P350" s="24"/>
      <c r="Q350" s="25"/>
      <c r="R350" s="29"/>
    </row>
    <row r="351" spans="1:18" ht="15" customHeight="1" x14ac:dyDescent="0.15">
      <c r="A351" s="1"/>
      <c r="B351" s="17"/>
      <c r="C351" s="21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3"/>
      <c r="P351" s="24"/>
      <c r="Q351" s="25"/>
      <c r="R351" s="30"/>
    </row>
    <row r="352" spans="1:18" ht="15" customHeight="1" x14ac:dyDescent="0.15">
      <c r="A352" s="1"/>
      <c r="B352" s="17"/>
      <c r="C352" s="21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3"/>
      <c r="P352" s="24"/>
      <c r="Q352" s="25"/>
      <c r="R352" s="29"/>
    </row>
    <row r="353" spans="1:18" ht="15" customHeight="1" x14ac:dyDescent="0.15">
      <c r="A353" s="1"/>
      <c r="B353" s="17"/>
      <c r="C353" s="21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3"/>
      <c r="P353" s="24"/>
      <c r="Q353" s="25"/>
      <c r="R353" s="31"/>
    </row>
    <row r="354" spans="1:18" ht="15" customHeight="1" x14ac:dyDescent="0.15">
      <c r="A354" s="1"/>
      <c r="B354" s="17"/>
      <c r="C354" s="21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3"/>
      <c r="P354" s="24"/>
      <c r="Q354" s="25"/>
      <c r="R354" s="29"/>
    </row>
    <row r="355" spans="1:18" ht="15" customHeight="1" x14ac:dyDescent="0.15">
      <c r="A355" s="1"/>
      <c r="B355" s="17"/>
      <c r="C355" s="21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3"/>
      <c r="P355" s="24"/>
      <c r="Q355" s="25"/>
      <c r="R355" s="31"/>
    </row>
    <row r="356" spans="1:18" ht="15" customHeight="1" x14ac:dyDescent="0.15">
      <c r="A356" s="1"/>
      <c r="B356" s="17"/>
      <c r="C356" s="21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3"/>
      <c r="P356" s="24"/>
      <c r="Q356" s="25"/>
      <c r="R356" s="29"/>
    </row>
    <row r="357" spans="1:18" ht="15" customHeight="1" x14ac:dyDescent="0.15">
      <c r="A357" s="1"/>
      <c r="B357" s="17"/>
      <c r="C357" s="21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3"/>
      <c r="P357" s="24"/>
      <c r="Q357" s="25"/>
      <c r="R357" s="28"/>
    </row>
    <row r="358" spans="1:18" ht="15" customHeight="1" x14ac:dyDescent="0.15">
      <c r="A358" s="1"/>
      <c r="B358" s="17"/>
      <c r="C358" s="21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3"/>
      <c r="P358" s="24"/>
      <c r="Q358" s="25"/>
      <c r="R358" s="29"/>
    </row>
    <row r="359" spans="1:18" ht="15" customHeight="1" x14ac:dyDescent="0.15">
      <c r="A359" s="1"/>
      <c r="B359" s="17"/>
      <c r="C359" s="21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3"/>
      <c r="P359" s="24"/>
      <c r="Q359" s="25"/>
      <c r="R359" s="30"/>
    </row>
    <row r="360" spans="1:18" ht="15" customHeight="1" x14ac:dyDescent="0.15">
      <c r="A360" s="1"/>
      <c r="B360" s="17"/>
      <c r="C360" s="21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3"/>
      <c r="P360" s="24"/>
      <c r="Q360" s="25"/>
      <c r="R360" s="29"/>
    </row>
    <row r="361" spans="1:18" ht="15" customHeight="1" x14ac:dyDescent="0.15">
      <c r="A361" s="1"/>
      <c r="B361" s="17"/>
      <c r="C361" s="21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3"/>
      <c r="P361" s="24"/>
      <c r="Q361" s="25"/>
      <c r="R361" s="31"/>
    </row>
    <row r="362" spans="1:18" ht="15" customHeight="1" x14ac:dyDescent="0.15">
      <c r="A362" s="1"/>
      <c r="B362" s="17"/>
      <c r="C362" s="21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3"/>
      <c r="P362" s="24"/>
      <c r="Q362" s="25"/>
      <c r="R362" s="29"/>
    </row>
    <row r="363" spans="1:18" ht="15" customHeight="1" x14ac:dyDescent="0.15">
      <c r="A363" s="1"/>
      <c r="B363" s="17"/>
      <c r="C363" s="21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3"/>
      <c r="P363" s="24"/>
      <c r="Q363" s="25"/>
      <c r="R363" s="28"/>
    </row>
    <row r="364" spans="1:18" ht="15" customHeight="1" x14ac:dyDescent="0.15">
      <c r="A364" s="1"/>
      <c r="B364" s="17"/>
      <c r="C364" s="21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3"/>
      <c r="P364" s="24"/>
      <c r="Q364" s="25"/>
      <c r="R364" s="28"/>
    </row>
    <row r="365" spans="1:18" ht="15" customHeight="1" x14ac:dyDescent="0.15">
      <c r="A365" s="1"/>
      <c r="B365" s="17"/>
      <c r="C365" s="21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3"/>
      <c r="P365" s="24"/>
      <c r="Q365" s="25"/>
      <c r="R365" s="29"/>
    </row>
    <row r="366" spans="1:18" ht="15" customHeight="1" x14ac:dyDescent="0.15">
      <c r="A366" s="1"/>
      <c r="B366" s="17"/>
      <c r="C366" s="21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3"/>
      <c r="P366" s="24"/>
      <c r="Q366" s="25"/>
      <c r="R366" s="30"/>
    </row>
    <row r="367" spans="1:18" ht="15" customHeight="1" x14ac:dyDescent="0.15">
      <c r="A367" s="1"/>
      <c r="B367" s="17"/>
      <c r="C367" s="21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3"/>
      <c r="P367" s="24"/>
      <c r="Q367" s="25"/>
      <c r="R367" s="29"/>
    </row>
    <row r="368" spans="1:18" ht="15" customHeight="1" x14ac:dyDescent="0.15">
      <c r="A368" s="1"/>
      <c r="B368" s="17"/>
      <c r="C368" s="21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3"/>
      <c r="P368" s="24"/>
      <c r="Q368" s="25"/>
      <c r="R368" s="31"/>
    </row>
    <row r="369" spans="1:18" ht="15" customHeight="1" x14ac:dyDescent="0.15">
      <c r="A369" s="1"/>
      <c r="B369" s="17"/>
      <c r="C369" s="21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3"/>
      <c r="P369" s="24"/>
      <c r="Q369" s="25"/>
      <c r="R369" s="29"/>
    </row>
    <row r="370" spans="1:18" ht="15" customHeight="1" x14ac:dyDescent="0.15">
      <c r="A370" s="1"/>
      <c r="B370" s="17"/>
      <c r="C370" s="21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3"/>
      <c r="P370" s="24"/>
      <c r="Q370" s="25"/>
      <c r="R370" s="28"/>
    </row>
    <row r="371" spans="1:18" ht="15" customHeight="1" x14ac:dyDescent="0.15">
      <c r="A371" s="1"/>
      <c r="B371" s="17"/>
      <c r="C371" s="21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3"/>
      <c r="P371" s="24"/>
      <c r="Q371" s="25"/>
      <c r="R371" s="28"/>
    </row>
    <row r="372" spans="1:18" ht="15" customHeight="1" x14ac:dyDescent="0.15">
      <c r="A372" s="1"/>
      <c r="B372" s="17"/>
      <c r="C372" s="21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3"/>
      <c r="P372" s="24"/>
      <c r="Q372" s="25"/>
      <c r="R372" s="29"/>
    </row>
    <row r="373" spans="1:18" ht="15" customHeight="1" x14ac:dyDescent="0.15">
      <c r="A373" s="1"/>
      <c r="B373" s="17"/>
      <c r="C373" s="21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3"/>
      <c r="P373" s="24"/>
      <c r="Q373" s="25"/>
      <c r="R373" s="30"/>
    </row>
    <row r="374" spans="1:18" ht="15" customHeight="1" x14ac:dyDescent="0.15">
      <c r="A374" s="1"/>
      <c r="B374" s="17"/>
      <c r="C374" s="21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3"/>
      <c r="P374" s="24"/>
      <c r="Q374" s="25"/>
      <c r="R374" s="29"/>
    </row>
    <row r="375" spans="1:18" ht="15" customHeight="1" x14ac:dyDescent="0.15">
      <c r="A375" s="1"/>
      <c r="B375" s="17"/>
      <c r="C375" s="21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3"/>
      <c r="P375" s="24"/>
      <c r="Q375" s="25"/>
      <c r="R375" s="28"/>
    </row>
    <row r="376" spans="1:18" ht="15" customHeight="1" x14ac:dyDescent="0.15">
      <c r="A376" s="1"/>
      <c r="B376" s="17"/>
      <c r="C376" s="21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3"/>
      <c r="P376" s="24"/>
      <c r="Q376" s="25"/>
      <c r="R376" s="29"/>
    </row>
    <row r="377" spans="1:18" ht="15" customHeight="1" x14ac:dyDescent="0.15">
      <c r="A377" s="1"/>
      <c r="B377" s="17"/>
      <c r="C377" s="21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3"/>
      <c r="P377" s="24"/>
      <c r="Q377" s="25"/>
      <c r="R377" s="30"/>
    </row>
    <row r="378" spans="1:18" ht="15" customHeight="1" x14ac:dyDescent="0.15">
      <c r="A378" s="1"/>
      <c r="B378" s="17"/>
      <c r="C378" s="21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3"/>
      <c r="P378" s="24"/>
      <c r="Q378" s="25"/>
      <c r="R378" s="29"/>
    </row>
    <row r="379" spans="1:18" ht="15" customHeight="1" x14ac:dyDescent="0.15">
      <c r="A379" s="1"/>
      <c r="B379" s="17"/>
      <c r="C379" s="21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3"/>
      <c r="P379" s="24"/>
      <c r="Q379" s="25"/>
      <c r="R379" s="31"/>
    </row>
    <row r="380" spans="1:18" ht="15" customHeight="1" x14ac:dyDescent="0.15">
      <c r="A380" s="1"/>
      <c r="B380" s="17"/>
      <c r="C380" s="21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3"/>
      <c r="P380" s="24"/>
      <c r="Q380" s="25"/>
      <c r="R380" s="29"/>
    </row>
    <row r="381" spans="1:18" ht="15" customHeight="1" x14ac:dyDescent="0.15">
      <c r="A381" s="1"/>
      <c r="B381" s="17"/>
      <c r="C381" s="21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3"/>
      <c r="P381" s="24"/>
      <c r="Q381" s="25"/>
      <c r="R381" s="28"/>
    </row>
    <row r="382" spans="1:18" ht="15" customHeight="1" x14ac:dyDescent="0.15">
      <c r="A382" s="1"/>
      <c r="B382" s="17"/>
      <c r="C382" s="21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3"/>
      <c r="P382" s="24"/>
      <c r="Q382" s="25"/>
      <c r="R382" s="28"/>
    </row>
    <row r="383" spans="1:18" ht="15" customHeight="1" x14ac:dyDescent="0.15">
      <c r="A383" s="1"/>
      <c r="B383" s="17"/>
      <c r="C383" s="21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3"/>
      <c r="P383" s="24"/>
      <c r="Q383" s="25"/>
      <c r="R383" s="29"/>
    </row>
    <row r="384" spans="1:18" ht="15" customHeight="1" x14ac:dyDescent="0.15">
      <c r="A384" s="1"/>
      <c r="B384" s="17"/>
      <c r="C384" s="21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3"/>
      <c r="P384" s="24"/>
      <c r="Q384" s="25"/>
      <c r="R384" s="30"/>
    </row>
    <row r="385" spans="1:18" ht="15" customHeight="1" x14ac:dyDescent="0.15">
      <c r="A385" s="1"/>
      <c r="B385" s="17"/>
      <c r="C385" s="21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3"/>
      <c r="P385" s="24"/>
      <c r="Q385" s="25"/>
      <c r="R385" s="29"/>
    </row>
    <row r="386" spans="1:18" ht="15" customHeight="1" x14ac:dyDescent="0.15">
      <c r="A386" s="1"/>
      <c r="B386" s="17"/>
      <c r="C386" s="21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3"/>
      <c r="P386" s="24"/>
      <c r="Q386" s="25"/>
      <c r="R386" s="30"/>
    </row>
    <row r="387" spans="1:18" ht="15" customHeight="1" x14ac:dyDescent="0.15">
      <c r="A387" s="1"/>
      <c r="B387" s="17"/>
      <c r="C387" s="21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3"/>
      <c r="P387" s="24"/>
      <c r="Q387" s="25"/>
      <c r="R387" s="29"/>
    </row>
    <row r="388" spans="1:18" ht="15" customHeight="1" x14ac:dyDescent="0.15">
      <c r="A388" s="1"/>
      <c r="B388" s="17"/>
      <c r="C388" s="21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3"/>
      <c r="P388" s="24"/>
      <c r="Q388" s="25"/>
      <c r="R388" s="31"/>
    </row>
    <row r="389" spans="1:18" ht="15" customHeight="1" x14ac:dyDescent="0.15">
      <c r="A389" s="1"/>
      <c r="B389" s="17"/>
      <c r="C389" s="21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3"/>
      <c r="P389" s="24"/>
      <c r="Q389" s="25"/>
      <c r="R389" s="29"/>
    </row>
    <row r="390" spans="1:18" ht="15" customHeight="1" x14ac:dyDescent="0.15">
      <c r="A390" s="1"/>
      <c r="B390" s="17"/>
      <c r="C390" s="21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3"/>
      <c r="P390" s="24"/>
      <c r="Q390" s="25"/>
      <c r="R390" s="31"/>
    </row>
    <row r="391" spans="1:18" ht="15" customHeight="1" x14ac:dyDescent="0.15">
      <c r="A391" s="1"/>
      <c r="B391" s="17"/>
      <c r="C391" s="21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3"/>
      <c r="P391" s="24"/>
      <c r="Q391" s="25"/>
      <c r="R391" s="29"/>
    </row>
    <row r="392" spans="1:18" ht="15" customHeight="1" x14ac:dyDescent="0.15">
      <c r="A392" s="1"/>
      <c r="B392" s="17"/>
      <c r="C392" s="21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3"/>
      <c r="P392" s="24"/>
      <c r="Q392" s="25"/>
      <c r="R392" s="28"/>
    </row>
    <row r="393" spans="1:18" ht="15" customHeight="1" x14ac:dyDescent="0.15">
      <c r="A393" s="1"/>
      <c r="B393" s="17"/>
      <c r="C393" s="21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3"/>
      <c r="P393" s="24"/>
      <c r="Q393" s="25"/>
      <c r="R393" s="29"/>
    </row>
    <row r="394" spans="1:18" ht="15" customHeight="1" x14ac:dyDescent="0.15">
      <c r="A394" s="1"/>
      <c r="B394" s="17"/>
      <c r="C394" s="21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3"/>
      <c r="P394" s="24"/>
      <c r="Q394" s="25"/>
      <c r="R394" s="30"/>
    </row>
    <row r="395" spans="1:18" ht="15" customHeight="1" x14ac:dyDescent="0.15">
      <c r="A395" s="1"/>
      <c r="B395" s="17"/>
      <c r="C395" s="21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3"/>
      <c r="P395" s="24"/>
      <c r="Q395" s="25"/>
      <c r="R395" s="29"/>
    </row>
    <row r="396" spans="1:18" ht="15" customHeight="1" x14ac:dyDescent="0.15">
      <c r="A396" s="1"/>
      <c r="B396" s="17"/>
      <c r="C396" s="21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3"/>
      <c r="P396" s="24"/>
      <c r="Q396" s="25"/>
      <c r="R396" s="30"/>
    </row>
    <row r="397" spans="1:18" ht="15" customHeight="1" x14ac:dyDescent="0.15">
      <c r="A397" s="1"/>
      <c r="B397" s="17"/>
      <c r="C397" s="21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3"/>
      <c r="P397" s="24"/>
      <c r="Q397" s="25"/>
      <c r="R397" s="29"/>
    </row>
    <row r="398" spans="1:18" ht="15" customHeight="1" x14ac:dyDescent="0.15">
      <c r="A398" s="1"/>
      <c r="B398" s="17"/>
      <c r="C398" s="21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3"/>
      <c r="P398" s="24"/>
      <c r="Q398" s="25"/>
      <c r="R398" s="30"/>
    </row>
    <row r="399" spans="1:18" ht="15" customHeight="1" x14ac:dyDescent="0.15">
      <c r="A399" s="1"/>
      <c r="B399" s="17"/>
      <c r="C399" s="21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3"/>
      <c r="P399" s="24"/>
      <c r="Q399" s="25"/>
      <c r="R399" s="29"/>
    </row>
    <row r="400" spans="1:18" ht="15" customHeight="1" x14ac:dyDescent="0.15">
      <c r="A400" s="1"/>
      <c r="B400" s="17"/>
      <c r="C400" s="21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3"/>
      <c r="P400" s="24"/>
      <c r="Q400" s="25"/>
      <c r="R400" s="31"/>
    </row>
    <row r="401" spans="1:18" ht="15" customHeight="1" x14ac:dyDescent="0.15">
      <c r="A401" s="1"/>
      <c r="B401" s="17"/>
      <c r="C401" s="21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3"/>
      <c r="P401" s="24"/>
      <c r="Q401" s="25"/>
      <c r="R401" s="29"/>
    </row>
    <row r="402" spans="1:18" ht="15" customHeight="1" x14ac:dyDescent="0.15">
      <c r="A402" s="1"/>
      <c r="B402" s="17"/>
      <c r="C402" s="21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3"/>
      <c r="P402" s="24"/>
      <c r="Q402" s="25"/>
      <c r="R402" s="31"/>
    </row>
    <row r="403" spans="1:18" ht="15" customHeight="1" x14ac:dyDescent="0.15">
      <c r="A403" s="1"/>
      <c r="B403" s="17"/>
      <c r="C403" s="21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3"/>
      <c r="P403" s="24"/>
      <c r="Q403" s="25"/>
      <c r="R403" s="29"/>
    </row>
    <row r="404" spans="1:18" ht="15" customHeight="1" x14ac:dyDescent="0.15">
      <c r="A404" s="1"/>
      <c r="B404" s="17"/>
      <c r="C404" s="21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3"/>
      <c r="P404" s="24"/>
      <c r="Q404" s="25"/>
      <c r="R404" s="31"/>
    </row>
    <row r="405" spans="1:18" ht="15" customHeight="1" x14ac:dyDescent="0.15">
      <c r="A405" s="1"/>
      <c r="B405" s="17"/>
      <c r="C405" s="21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3"/>
      <c r="P405" s="24"/>
      <c r="Q405" s="25"/>
      <c r="R405" s="29"/>
    </row>
    <row r="406" spans="1:18" ht="15" customHeight="1" x14ac:dyDescent="0.15">
      <c r="A406" s="1"/>
      <c r="B406" s="17"/>
      <c r="C406" s="21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3"/>
      <c r="P406" s="24"/>
      <c r="Q406" s="25"/>
      <c r="R406" s="28"/>
    </row>
    <row r="407" spans="1:18" ht="15" customHeight="1" x14ac:dyDescent="0.15">
      <c r="A407" s="1"/>
      <c r="B407" s="17"/>
      <c r="C407" s="21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3"/>
      <c r="P407" s="24"/>
      <c r="Q407" s="25"/>
      <c r="R407" s="29"/>
    </row>
    <row r="408" spans="1:18" ht="15" customHeight="1" x14ac:dyDescent="0.15">
      <c r="A408" s="1"/>
      <c r="B408" s="17"/>
      <c r="C408" s="21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3"/>
      <c r="P408" s="24"/>
      <c r="Q408" s="25"/>
      <c r="R408" s="30"/>
    </row>
    <row r="409" spans="1:18" ht="15" customHeight="1" x14ac:dyDescent="0.15">
      <c r="A409" s="1"/>
      <c r="B409" s="17"/>
      <c r="C409" s="21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3"/>
      <c r="P409" s="24"/>
      <c r="Q409" s="25"/>
      <c r="R409" s="29"/>
    </row>
    <row r="410" spans="1:18" ht="15" customHeight="1" x14ac:dyDescent="0.15">
      <c r="A410" s="1"/>
      <c r="B410" s="17"/>
      <c r="C410" s="21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3"/>
      <c r="P410" s="24"/>
      <c r="Q410" s="25"/>
      <c r="R410" s="30"/>
    </row>
    <row r="411" spans="1:18" ht="15" customHeight="1" x14ac:dyDescent="0.15">
      <c r="A411" s="1"/>
      <c r="B411" s="17"/>
      <c r="C411" s="21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3"/>
      <c r="P411" s="24"/>
      <c r="Q411" s="25"/>
      <c r="R411" s="29"/>
    </row>
    <row r="412" spans="1:18" ht="15" customHeight="1" x14ac:dyDescent="0.15">
      <c r="A412" s="1"/>
      <c r="B412" s="17"/>
      <c r="C412" s="21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3"/>
      <c r="P412" s="24"/>
      <c r="Q412" s="25"/>
      <c r="R412" s="30"/>
    </row>
    <row r="413" spans="1:18" ht="15" customHeight="1" x14ac:dyDescent="0.15">
      <c r="A413" s="1"/>
      <c r="B413" s="17"/>
      <c r="C413" s="21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3"/>
      <c r="P413" s="24"/>
      <c r="Q413" s="25"/>
      <c r="R413" s="29"/>
    </row>
    <row r="414" spans="1:18" ht="15" customHeight="1" x14ac:dyDescent="0.15">
      <c r="A414" s="1"/>
      <c r="B414" s="17"/>
      <c r="C414" s="21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3"/>
      <c r="P414" s="24"/>
      <c r="Q414" s="25"/>
      <c r="R414" s="31"/>
    </row>
    <row r="415" spans="1:18" ht="15" customHeight="1" x14ac:dyDescent="0.15">
      <c r="A415" s="1"/>
      <c r="B415" s="17"/>
      <c r="C415" s="21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3"/>
      <c r="P415" s="24"/>
      <c r="Q415" s="25"/>
      <c r="R415" s="31"/>
    </row>
    <row r="416" spans="1:18" ht="15" customHeight="1" x14ac:dyDescent="0.15">
      <c r="A416" s="1"/>
      <c r="B416" s="17"/>
      <c r="C416" s="21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3"/>
      <c r="P416" s="24"/>
      <c r="Q416" s="25"/>
      <c r="R416" s="29"/>
    </row>
    <row r="417" spans="1:18" ht="15" customHeight="1" x14ac:dyDescent="0.15">
      <c r="A417" s="1"/>
      <c r="B417" s="17"/>
      <c r="C417" s="21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3"/>
      <c r="P417" s="24"/>
      <c r="Q417" s="25"/>
      <c r="R417" s="28"/>
    </row>
    <row r="418" spans="1:18" ht="15" customHeight="1" x14ac:dyDescent="0.15">
      <c r="A418" s="1"/>
      <c r="B418" s="17"/>
      <c r="C418" s="21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3"/>
      <c r="P418" s="24"/>
      <c r="Q418" s="25"/>
      <c r="R418" s="30"/>
    </row>
    <row r="419" spans="1:18" ht="15" customHeight="1" x14ac:dyDescent="0.15">
      <c r="A419" s="1"/>
      <c r="B419" s="17"/>
      <c r="C419" s="21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3"/>
      <c r="P419" s="24"/>
      <c r="Q419" s="25"/>
      <c r="R419" s="29"/>
    </row>
    <row r="420" spans="1:18" ht="15" customHeight="1" x14ac:dyDescent="0.15">
      <c r="A420" s="1"/>
      <c r="B420" s="17"/>
      <c r="C420" s="21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3"/>
      <c r="P420" s="24"/>
      <c r="Q420" s="25"/>
      <c r="R420" s="31"/>
    </row>
    <row r="421" spans="1:18" ht="15" customHeight="1" x14ac:dyDescent="0.15">
      <c r="A421" s="1"/>
      <c r="B421" s="17"/>
      <c r="C421" s="21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3"/>
      <c r="P421" s="24"/>
      <c r="Q421" s="25"/>
      <c r="R421" s="29"/>
    </row>
    <row r="422" spans="1:18" ht="15" customHeight="1" x14ac:dyDescent="0.15">
      <c r="A422" s="1"/>
      <c r="B422" s="17"/>
      <c r="C422" s="21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3"/>
      <c r="P422" s="24"/>
      <c r="Q422" s="25"/>
      <c r="R422" s="28"/>
    </row>
    <row r="423" spans="1:18" ht="15" customHeight="1" x14ac:dyDescent="0.15">
      <c r="A423" s="1"/>
      <c r="B423" s="17"/>
      <c r="C423" s="21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3"/>
      <c r="P423" s="24"/>
      <c r="Q423" s="25"/>
      <c r="R423" s="28"/>
    </row>
    <row r="424" spans="1:18" ht="15" customHeight="1" x14ac:dyDescent="0.15">
      <c r="A424" s="1"/>
      <c r="B424" s="17"/>
      <c r="C424" s="21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3"/>
      <c r="P424" s="24"/>
      <c r="Q424" s="25"/>
      <c r="R424" s="28"/>
    </row>
    <row r="425" spans="1:18" ht="15" customHeight="1" x14ac:dyDescent="0.15">
      <c r="A425" s="1"/>
      <c r="B425" s="17"/>
      <c r="C425" s="21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3"/>
      <c r="P425" s="24"/>
      <c r="Q425" s="25"/>
      <c r="R425" s="28"/>
    </row>
    <row r="426" spans="1:18" ht="15" customHeight="1" x14ac:dyDescent="0.15">
      <c r="A426" s="1"/>
      <c r="B426" s="17"/>
      <c r="C426" s="21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3"/>
      <c r="P426" s="24"/>
      <c r="Q426" s="25"/>
      <c r="R426" s="28"/>
    </row>
    <row r="427" spans="1:18" ht="15" customHeight="1" x14ac:dyDescent="0.15">
      <c r="A427" s="1"/>
      <c r="B427" s="17"/>
      <c r="C427" s="21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3"/>
      <c r="P427" s="24"/>
      <c r="Q427" s="25"/>
      <c r="R427" s="29"/>
    </row>
    <row r="428" spans="1:18" ht="15" customHeight="1" x14ac:dyDescent="0.15">
      <c r="A428" s="1"/>
      <c r="B428" s="17"/>
      <c r="C428" s="21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3"/>
      <c r="P428" s="24"/>
      <c r="Q428" s="25"/>
      <c r="R428" s="30"/>
    </row>
    <row r="429" spans="1:18" ht="15" customHeight="1" x14ac:dyDescent="0.15">
      <c r="A429" s="1"/>
      <c r="B429" s="17"/>
      <c r="C429" s="21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3"/>
      <c r="P429" s="24"/>
      <c r="Q429" s="25"/>
      <c r="R429" s="31"/>
    </row>
    <row r="430" spans="1:18" ht="15" customHeight="1" x14ac:dyDescent="0.15">
      <c r="A430" s="1"/>
      <c r="B430" s="17"/>
      <c r="C430" s="21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3"/>
      <c r="P430" s="24"/>
      <c r="Q430" s="25"/>
      <c r="R430" s="28"/>
    </row>
    <row r="431" spans="1:18" ht="15" customHeight="1" x14ac:dyDescent="0.15">
      <c r="A431" s="1"/>
      <c r="B431" s="17"/>
      <c r="C431" s="21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3"/>
      <c r="P431" s="24"/>
      <c r="Q431" s="25"/>
      <c r="R431" s="28"/>
    </row>
    <row r="432" spans="1:18" ht="15" customHeight="1" x14ac:dyDescent="0.15">
      <c r="A432" s="1"/>
      <c r="B432" s="17"/>
      <c r="C432" s="21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3"/>
      <c r="P432" s="24"/>
      <c r="Q432" s="25"/>
      <c r="R432" s="30"/>
    </row>
    <row r="433" spans="1:18" ht="15" customHeight="1" x14ac:dyDescent="0.15">
      <c r="A433" s="1"/>
      <c r="B433" s="17"/>
      <c r="C433" s="21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3"/>
      <c r="P433" s="24"/>
      <c r="Q433" s="25"/>
      <c r="R433" s="29"/>
    </row>
    <row r="434" spans="1:18" ht="15" customHeight="1" x14ac:dyDescent="0.15">
      <c r="A434" s="1"/>
      <c r="B434" s="17"/>
      <c r="C434" s="21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3"/>
      <c r="P434" s="24"/>
      <c r="Q434" s="25"/>
      <c r="R434" s="30"/>
    </row>
    <row r="435" spans="1:18" ht="15" customHeight="1" x14ac:dyDescent="0.15">
      <c r="A435" s="1"/>
      <c r="B435" s="17"/>
      <c r="C435" s="21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3"/>
      <c r="P435" s="24"/>
      <c r="Q435" s="25"/>
      <c r="R435" s="28"/>
    </row>
    <row r="436" spans="1:18" ht="15" customHeight="1" x14ac:dyDescent="0.15">
      <c r="A436" s="1"/>
      <c r="B436" s="17"/>
      <c r="C436" s="21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3"/>
      <c r="P436" s="24"/>
      <c r="Q436" s="25"/>
      <c r="R436" s="30"/>
    </row>
    <row r="437" spans="1:18" ht="15" customHeight="1" x14ac:dyDescent="0.15">
      <c r="A437" s="1"/>
      <c r="B437" s="17"/>
      <c r="C437" s="21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3"/>
      <c r="P437" s="24"/>
      <c r="Q437" s="25"/>
      <c r="R437" s="29"/>
    </row>
    <row r="438" spans="1:18" ht="15" customHeight="1" x14ac:dyDescent="0.15">
      <c r="A438" s="1"/>
      <c r="B438" s="17"/>
      <c r="C438" s="21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3"/>
      <c r="P438" s="24"/>
      <c r="Q438" s="25"/>
      <c r="R438" s="30"/>
    </row>
    <row r="439" spans="1:18" ht="15" customHeight="1" x14ac:dyDescent="0.15">
      <c r="A439" s="1"/>
      <c r="B439" s="17"/>
      <c r="C439" s="21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3"/>
      <c r="P439" s="24"/>
      <c r="Q439" s="25"/>
      <c r="R439" s="29"/>
    </row>
    <row r="440" spans="1:18" ht="15" customHeight="1" x14ac:dyDescent="0.15">
      <c r="A440" s="1"/>
      <c r="B440" s="17"/>
      <c r="C440" s="21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3"/>
      <c r="P440" s="24"/>
      <c r="Q440" s="25"/>
      <c r="R440" s="30"/>
    </row>
    <row r="441" spans="1:18" ht="15" customHeight="1" x14ac:dyDescent="0.15">
      <c r="A441" s="1"/>
      <c r="B441" s="17"/>
      <c r="C441" s="21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3"/>
      <c r="P441" s="24"/>
      <c r="Q441" s="25"/>
      <c r="R441" s="29"/>
    </row>
    <row r="442" spans="1:18" ht="15" customHeight="1" x14ac:dyDescent="0.15">
      <c r="A442" s="1"/>
      <c r="B442" s="17"/>
      <c r="C442" s="21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3"/>
      <c r="P442" s="24"/>
      <c r="Q442" s="25"/>
      <c r="R442" s="30"/>
    </row>
    <row r="443" spans="1:18" ht="15" customHeight="1" x14ac:dyDescent="0.15">
      <c r="A443" s="1"/>
      <c r="B443" s="17"/>
      <c r="C443" s="21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3"/>
      <c r="P443" s="24"/>
      <c r="Q443" s="25"/>
      <c r="R443" s="29"/>
    </row>
    <row r="444" spans="1:18" ht="15" customHeight="1" x14ac:dyDescent="0.15">
      <c r="A444" s="1"/>
      <c r="B444" s="17"/>
      <c r="C444" s="21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3"/>
      <c r="P444" s="24"/>
      <c r="Q444" s="25"/>
      <c r="R444" s="30"/>
    </row>
    <row r="445" spans="1:18" ht="15" customHeight="1" x14ac:dyDescent="0.15">
      <c r="A445" s="1"/>
      <c r="B445" s="17"/>
      <c r="C445" s="21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3"/>
      <c r="P445" s="24"/>
      <c r="Q445" s="25"/>
      <c r="R445" s="29"/>
    </row>
    <row r="446" spans="1:18" ht="15" customHeight="1" x14ac:dyDescent="0.15">
      <c r="A446" s="1"/>
      <c r="B446" s="17"/>
      <c r="C446" s="21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3"/>
      <c r="P446" s="24"/>
      <c r="Q446" s="25"/>
      <c r="R446" s="30"/>
    </row>
    <row r="447" spans="1:18" ht="15" customHeight="1" x14ac:dyDescent="0.15">
      <c r="A447" s="1"/>
      <c r="B447" s="17"/>
      <c r="C447" s="21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3"/>
      <c r="P447" s="24"/>
      <c r="Q447" s="25"/>
      <c r="R447" s="29"/>
    </row>
    <row r="448" spans="1:18" ht="15" customHeight="1" x14ac:dyDescent="0.15">
      <c r="A448" s="1"/>
      <c r="B448" s="17"/>
      <c r="C448" s="21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3"/>
      <c r="P448" s="24"/>
      <c r="Q448" s="25"/>
      <c r="R448" s="30"/>
    </row>
    <row r="449" spans="1:18" ht="15" customHeight="1" x14ac:dyDescent="0.15">
      <c r="A449" s="1"/>
      <c r="B449" s="17"/>
      <c r="C449" s="21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3"/>
      <c r="P449" s="24"/>
      <c r="Q449" s="25"/>
      <c r="R449" s="29"/>
    </row>
    <row r="450" spans="1:18" ht="15" customHeight="1" x14ac:dyDescent="0.15">
      <c r="A450" s="1"/>
      <c r="B450" s="17"/>
      <c r="C450" s="21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3"/>
      <c r="P450" s="24"/>
      <c r="Q450" s="25"/>
      <c r="R450" s="30"/>
    </row>
    <row r="451" spans="1:18" ht="15" customHeight="1" x14ac:dyDescent="0.15">
      <c r="A451" s="1"/>
      <c r="B451" s="17"/>
      <c r="C451" s="21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3"/>
      <c r="P451" s="24"/>
      <c r="Q451" s="25"/>
      <c r="R451" s="29"/>
    </row>
    <row r="452" spans="1:18" ht="15" customHeight="1" x14ac:dyDescent="0.15">
      <c r="A452" s="1"/>
      <c r="B452" s="17"/>
      <c r="C452" s="21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3"/>
      <c r="P452" s="24"/>
      <c r="Q452" s="25"/>
      <c r="R452" s="30"/>
    </row>
    <row r="453" spans="1:18" ht="15" customHeight="1" x14ac:dyDescent="0.15">
      <c r="A453" s="1"/>
      <c r="B453" s="17"/>
      <c r="C453" s="21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3"/>
      <c r="P453" s="24"/>
      <c r="Q453" s="25"/>
      <c r="R453" s="29"/>
    </row>
    <row r="454" spans="1:18" ht="15" customHeight="1" x14ac:dyDescent="0.15">
      <c r="A454" s="1"/>
      <c r="B454" s="17"/>
      <c r="C454" s="21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3"/>
      <c r="P454" s="24"/>
      <c r="Q454" s="25"/>
      <c r="R454" s="30"/>
    </row>
    <row r="455" spans="1:18" ht="15" customHeight="1" x14ac:dyDescent="0.15">
      <c r="A455" s="1"/>
      <c r="B455" s="17"/>
      <c r="C455" s="21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3"/>
      <c r="P455" s="24"/>
      <c r="Q455" s="25"/>
      <c r="R455" s="29"/>
    </row>
    <row r="456" spans="1:18" ht="15" customHeight="1" x14ac:dyDescent="0.15">
      <c r="A456" s="1"/>
      <c r="B456" s="17"/>
      <c r="C456" s="21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3"/>
      <c r="P456" s="24"/>
      <c r="Q456" s="25"/>
      <c r="R456" s="30"/>
    </row>
    <row r="457" spans="1:18" x14ac:dyDescent="0.15">
      <c r="A457" s="1"/>
      <c r="B457" s="17"/>
      <c r="C457" s="16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3"/>
      <c r="P457" s="34"/>
      <c r="Q457" s="25"/>
      <c r="R457" s="35"/>
    </row>
    <row r="458" spans="1:18" x14ac:dyDescent="0.15">
      <c r="A458" s="1"/>
      <c r="B458" s="17"/>
      <c r="C458" s="16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3"/>
      <c r="P458" s="34"/>
      <c r="Q458" s="25"/>
    </row>
    <row r="459" spans="1:18" x14ac:dyDescent="0.15">
      <c r="A459" s="1"/>
      <c r="B459" s="17"/>
      <c r="C459" s="16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3"/>
      <c r="P459" s="34"/>
      <c r="Q459" s="25"/>
    </row>
    <row r="460" spans="1:18" x14ac:dyDescent="0.15">
      <c r="A460" s="1"/>
      <c r="B460" s="17"/>
      <c r="C460" s="16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3"/>
      <c r="P460" s="34"/>
      <c r="Q460" s="25"/>
    </row>
    <row r="461" spans="1:18" x14ac:dyDescent="0.15">
      <c r="A461" s="1"/>
      <c r="B461" s="17"/>
      <c r="C461" s="16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3"/>
      <c r="P461" s="34"/>
      <c r="Q461" s="25"/>
    </row>
    <row r="462" spans="1:18" x14ac:dyDescent="0.15">
      <c r="A462" s="1"/>
      <c r="B462" s="17"/>
      <c r="C462" s="16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3"/>
      <c r="P462" s="34"/>
      <c r="Q462" s="25"/>
    </row>
    <row r="463" spans="1:18" x14ac:dyDescent="0.15">
      <c r="A463" s="1"/>
      <c r="B463" s="17"/>
      <c r="C463" s="16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3"/>
      <c r="P463" s="34"/>
      <c r="Q463" s="25"/>
    </row>
    <row r="464" spans="1:18" x14ac:dyDescent="0.15">
      <c r="A464" s="1"/>
      <c r="B464" s="17"/>
      <c r="C464" s="16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3"/>
      <c r="P464" s="34"/>
      <c r="Q464" s="25"/>
    </row>
    <row r="465" spans="1:17" x14ac:dyDescent="0.15">
      <c r="A465" s="1"/>
      <c r="B465" s="17"/>
      <c r="C465" s="16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3"/>
      <c r="P465" s="34"/>
      <c r="Q465" s="25"/>
    </row>
    <row r="466" spans="1:17" x14ac:dyDescent="0.15">
      <c r="A466" s="1"/>
      <c r="B466" s="17"/>
      <c r="C466" s="16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3"/>
      <c r="P466" s="34"/>
      <c r="Q466" s="25"/>
    </row>
    <row r="467" spans="1:17" x14ac:dyDescent="0.15">
      <c r="A467" s="1"/>
      <c r="B467" s="17"/>
      <c r="C467" s="16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3"/>
      <c r="P467" s="34"/>
      <c r="Q467" s="25"/>
    </row>
    <row r="468" spans="1:17" x14ac:dyDescent="0.15">
      <c r="A468" s="1"/>
      <c r="B468" s="17"/>
      <c r="C468" s="16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3"/>
      <c r="P468" s="34"/>
      <c r="Q468" s="25"/>
    </row>
    <row r="469" spans="1:17" x14ac:dyDescent="0.15">
      <c r="A469" s="1"/>
      <c r="B469" s="17"/>
      <c r="C469" s="16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3"/>
      <c r="P469" s="34"/>
      <c r="Q469" s="25"/>
    </row>
    <row r="470" spans="1:17" x14ac:dyDescent="0.15">
      <c r="A470" s="1"/>
      <c r="B470" s="17"/>
      <c r="C470" s="16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3"/>
      <c r="P470" s="34"/>
      <c r="Q470" s="25"/>
    </row>
    <row r="471" spans="1:17" x14ac:dyDescent="0.15">
      <c r="A471" s="1"/>
      <c r="B471" s="17"/>
      <c r="C471" s="16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3"/>
      <c r="P471" s="34"/>
      <c r="Q471" s="25"/>
    </row>
    <row r="472" spans="1:17" x14ac:dyDescent="0.15">
      <c r="A472" s="1"/>
      <c r="B472" s="17"/>
      <c r="C472" s="16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3"/>
      <c r="P472" s="34"/>
      <c r="Q472" s="25"/>
    </row>
    <row r="473" spans="1:17" x14ac:dyDescent="0.15">
      <c r="A473" s="1"/>
      <c r="B473" s="17"/>
      <c r="C473" s="16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3"/>
      <c r="P473" s="34"/>
      <c r="Q473" s="25"/>
    </row>
    <row r="474" spans="1:17" x14ac:dyDescent="0.15">
      <c r="A474" s="1"/>
      <c r="B474" s="17"/>
      <c r="C474" s="16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3"/>
      <c r="P474" s="34"/>
      <c r="Q474" s="25"/>
    </row>
    <row r="475" spans="1:17" x14ac:dyDescent="0.15">
      <c r="A475" s="1"/>
      <c r="B475" s="17"/>
      <c r="C475" s="16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3"/>
      <c r="P475" s="34"/>
      <c r="Q475" s="25"/>
    </row>
    <row r="476" spans="1:17" x14ac:dyDescent="0.15">
      <c r="A476" s="1"/>
      <c r="B476" s="16"/>
      <c r="C476" s="16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3"/>
      <c r="P476" s="34"/>
      <c r="Q476" s="25"/>
    </row>
    <row r="477" spans="1:17" x14ac:dyDescent="0.15">
      <c r="A477" s="1"/>
      <c r="B477" s="16"/>
      <c r="C477" s="16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3"/>
      <c r="P477" s="34"/>
      <c r="Q477" s="25"/>
    </row>
    <row r="478" spans="1:17" x14ac:dyDescent="0.15">
      <c r="A478" s="1"/>
      <c r="B478" s="16"/>
      <c r="C478" s="16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3"/>
      <c r="P478" s="34"/>
      <c r="Q478" s="25"/>
    </row>
    <row r="479" spans="1:17" x14ac:dyDescent="0.15">
      <c r="A479" s="1"/>
      <c r="B479" s="16"/>
      <c r="C479" s="16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3"/>
      <c r="P479" s="34"/>
      <c r="Q479" s="25"/>
    </row>
    <row r="480" spans="1:17" x14ac:dyDescent="0.15">
      <c r="A480" s="1"/>
      <c r="B480" s="16"/>
      <c r="C480" s="16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3"/>
      <c r="P480" s="34"/>
      <c r="Q480" s="25"/>
    </row>
    <row r="481" spans="1:17" x14ac:dyDescent="0.15">
      <c r="A481" s="1"/>
      <c r="B481" s="16"/>
      <c r="C481" s="16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3"/>
      <c r="P481" s="34"/>
      <c r="Q481" s="25"/>
    </row>
    <row r="482" spans="1:17" x14ac:dyDescent="0.15">
      <c r="A482" s="1"/>
      <c r="B482" s="16"/>
      <c r="C482" s="16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3"/>
      <c r="P482" s="34"/>
      <c r="Q482" s="25"/>
    </row>
    <row r="483" spans="1:17" x14ac:dyDescent="0.15">
      <c r="A483" s="1"/>
      <c r="B483" s="16"/>
      <c r="C483" s="16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3"/>
      <c r="P483" s="34"/>
      <c r="Q483" s="25"/>
    </row>
    <row r="484" spans="1:17" x14ac:dyDescent="0.15">
      <c r="A484" s="1"/>
      <c r="B484" s="16"/>
      <c r="C484" s="16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3"/>
      <c r="P484" s="34"/>
      <c r="Q484" s="25"/>
    </row>
    <row r="485" spans="1:17" x14ac:dyDescent="0.15">
      <c r="A485" s="1"/>
      <c r="B485" s="16"/>
      <c r="C485" s="16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3"/>
      <c r="P485" s="34"/>
      <c r="Q485" s="25"/>
    </row>
    <row r="486" spans="1:17" x14ac:dyDescent="0.15">
      <c r="A486" s="1"/>
      <c r="B486" s="16"/>
      <c r="C486" s="16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3"/>
      <c r="P486" s="34"/>
      <c r="Q486" s="25"/>
    </row>
    <row r="487" spans="1:17" x14ac:dyDescent="0.15">
      <c r="A487" s="1"/>
      <c r="B487" s="16"/>
      <c r="C487" s="16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3"/>
      <c r="P487" s="34"/>
      <c r="Q487" s="25"/>
    </row>
    <row r="488" spans="1:17" x14ac:dyDescent="0.15">
      <c r="A488" s="1"/>
      <c r="B488" s="16"/>
      <c r="C488" s="16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3"/>
      <c r="P488" s="34"/>
      <c r="Q488" s="25"/>
    </row>
    <row r="489" spans="1:17" x14ac:dyDescent="0.15">
      <c r="A489" s="1"/>
      <c r="B489" s="16"/>
      <c r="C489" s="16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3"/>
      <c r="P489" s="34"/>
      <c r="Q489" s="25"/>
    </row>
    <row r="490" spans="1:17" x14ac:dyDescent="0.15">
      <c r="A490" s="1"/>
      <c r="B490" s="16"/>
      <c r="C490" s="16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3"/>
      <c r="P490" s="34"/>
      <c r="Q490" s="25"/>
    </row>
    <row r="491" spans="1:17" x14ac:dyDescent="0.15">
      <c r="A491" s="1"/>
      <c r="B491" s="16"/>
      <c r="C491" s="16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3"/>
      <c r="P491" s="34"/>
      <c r="Q491" s="25"/>
    </row>
    <row r="492" spans="1:17" x14ac:dyDescent="0.15">
      <c r="A492" s="1"/>
      <c r="B492" s="16"/>
      <c r="C492" s="16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3"/>
      <c r="P492" s="34"/>
      <c r="Q492" s="25"/>
    </row>
    <row r="493" spans="1:17" x14ac:dyDescent="0.15">
      <c r="A493" s="1"/>
      <c r="B493" s="16"/>
      <c r="C493" s="16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3"/>
      <c r="P493" s="34"/>
      <c r="Q493" s="25"/>
    </row>
    <row r="494" spans="1:17" x14ac:dyDescent="0.15">
      <c r="A494" s="1"/>
      <c r="B494" s="16"/>
      <c r="C494" s="16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3"/>
      <c r="P494" s="34"/>
      <c r="Q494" s="25"/>
    </row>
    <row r="495" spans="1:17" x14ac:dyDescent="0.15">
      <c r="A495" s="1"/>
      <c r="B495" s="16"/>
      <c r="C495" s="16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3"/>
      <c r="P495" s="34"/>
      <c r="Q495" s="25"/>
    </row>
    <row r="496" spans="1:17" x14ac:dyDescent="0.15">
      <c r="A496" s="1"/>
      <c r="B496" s="16"/>
      <c r="C496" s="16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3"/>
      <c r="P496" s="34"/>
      <c r="Q496" s="25"/>
    </row>
    <row r="497" spans="1:17" x14ac:dyDescent="0.15">
      <c r="A497" s="1"/>
      <c r="B497" s="16"/>
      <c r="C497" s="16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3"/>
      <c r="P497" s="34"/>
      <c r="Q497" s="25"/>
    </row>
    <row r="498" spans="1:17" x14ac:dyDescent="0.15">
      <c r="A498" s="1"/>
      <c r="B498" s="16"/>
      <c r="C498" s="16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3"/>
      <c r="P498" s="34"/>
      <c r="Q498" s="25"/>
    </row>
    <row r="499" spans="1:17" x14ac:dyDescent="0.15">
      <c r="A499" s="1"/>
      <c r="B499" s="16"/>
      <c r="C499" s="16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3"/>
      <c r="P499" s="34"/>
      <c r="Q499" s="25"/>
    </row>
    <row r="500" spans="1:17" x14ac:dyDescent="0.15">
      <c r="A500" s="1"/>
      <c r="B500" s="16"/>
      <c r="C500" s="16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3"/>
      <c r="P500" s="34"/>
      <c r="Q500" s="25"/>
    </row>
    <row r="501" spans="1:17" x14ac:dyDescent="0.15">
      <c r="A501" s="1"/>
      <c r="B501" s="16"/>
      <c r="C501" s="16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3"/>
      <c r="P501" s="34"/>
      <c r="Q501" s="25"/>
    </row>
    <row r="502" spans="1:17" x14ac:dyDescent="0.15">
      <c r="A502" s="1"/>
      <c r="B502" s="16"/>
      <c r="C502" s="16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3"/>
      <c r="P502" s="34"/>
      <c r="Q502" s="25"/>
    </row>
    <row r="503" spans="1:17" x14ac:dyDescent="0.15">
      <c r="A503" s="1"/>
      <c r="B503" s="16"/>
      <c r="C503" s="16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3"/>
      <c r="P503" s="34"/>
      <c r="Q503" s="25"/>
    </row>
    <row r="504" spans="1:17" x14ac:dyDescent="0.15">
      <c r="A504" s="1"/>
      <c r="B504" s="16"/>
      <c r="C504" s="16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3"/>
      <c r="P504" s="34"/>
      <c r="Q504" s="25"/>
    </row>
    <row r="505" spans="1:17" x14ac:dyDescent="0.15">
      <c r="A505" s="1"/>
      <c r="B505" s="16"/>
      <c r="C505" s="16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3"/>
      <c r="P505" s="34"/>
      <c r="Q505" s="25"/>
    </row>
    <row r="506" spans="1:17" x14ac:dyDescent="0.15">
      <c r="A506" s="1"/>
      <c r="B506" s="16"/>
      <c r="C506" s="16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3"/>
      <c r="P506" s="34"/>
      <c r="Q506" s="25"/>
    </row>
    <row r="507" spans="1:17" x14ac:dyDescent="0.15">
      <c r="A507" s="1"/>
      <c r="B507" s="16"/>
      <c r="C507" s="16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3"/>
      <c r="P507" s="34"/>
      <c r="Q507" s="25"/>
    </row>
    <row r="508" spans="1:17" x14ac:dyDescent="0.15">
      <c r="A508" s="1"/>
      <c r="B508" s="16"/>
      <c r="C508" s="16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3"/>
      <c r="P508" s="34"/>
      <c r="Q508" s="25"/>
    </row>
    <row r="509" spans="1:17" x14ac:dyDescent="0.15">
      <c r="A509" s="1"/>
      <c r="B509" s="16"/>
      <c r="C509" s="16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3"/>
      <c r="P509" s="34"/>
      <c r="Q509" s="25"/>
    </row>
    <row r="510" spans="1:17" x14ac:dyDescent="0.15">
      <c r="A510" s="1"/>
      <c r="B510" s="16"/>
      <c r="C510" s="16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3"/>
      <c r="P510" s="34"/>
      <c r="Q510" s="25"/>
    </row>
    <row r="511" spans="1:17" x14ac:dyDescent="0.15">
      <c r="A511" s="1"/>
      <c r="B511" s="16"/>
      <c r="C511" s="16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3"/>
      <c r="P511" s="34"/>
      <c r="Q511" s="25"/>
    </row>
    <row r="512" spans="1:17" x14ac:dyDescent="0.15">
      <c r="A512" s="1"/>
      <c r="B512" s="16"/>
      <c r="C512" s="16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3"/>
      <c r="P512" s="34"/>
      <c r="Q512" s="25"/>
    </row>
    <row r="513" spans="1:17" x14ac:dyDescent="0.15">
      <c r="A513" s="1"/>
      <c r="B513" s="16"/>
      <c r="C513" s="16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3"/>
      <c r="P513" s="34"/>
      <c r="Q513" s="25"/>
    </row>
    <row r="514" spans="1:17" x14ac:dyDescent="0.15">
      <c r="A514" s="1"/>
      <c r="B514" s="16"/>
      <c r="C514" s="16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3"/>
      <c r="P514" s="34"/>
      <c r="Q514" s="25"/>
    </row>
    <row r="515" spans="1:17" x14ac:dyDescent="0.15">
      <c r="A515" s="1"/>
      <c r="B515" s="16"/>
      <c r="C515" s="16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3"/>
      <c r="P515" s="34"/>
      <c r="Q515" s="25"/>
    </row>
    <row r="516" spans="1:17" x14ac:dyDescent="0.15">
      <c r="A516" s="1"/>
      <c r="B516" s="16"/>
      <c r="C516" s="16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3"/>
      <c r="P516" s="34"/>
      <c r="Q516" s="25"/>
    </row>
    <row r="517" spans="1:17" x14ac:dyDescent="0.15">
      <c r="A517" s="1"/>
      <c r="B517" s="16"/>
      <c r="C517" s="16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3"/>
      <c r="P517" s="34"/>
      <c r="Q517" s="25"/>
    </row>
    <row r="518" spans="1:17" x14ac:dyDescent="0.15">
      <c r="A518" s="1"/>
      <c r="B518" s="16"/>
      <c r="C518" s="16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3"/>
      <c r="P518" s="34"/>
      <c r="Q518" s="25"/>
    </row>
    <row r="519" spans="1:17" x14ac:dyDescent="0.15">
      <c r="A519" s="1"/>
      <c r="B519" s="16"/>
      <c r="C519" s="16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3"/>
      <c r="P519" s="34"/>
      <c r="Q519" s="25"/>
    </row>
    <row r="520" spans="1:17" x14ac:dyDescent="0.15">
      <c r="A520" s="1"/>
      <c r="B520" s="16"/>
      <c r="C520" s="16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3"/>
      <c r="P520" s="34"/>
      <c r="Q520" s="25"/>
    </row>
    <row r="521" spans="1:17" x14ac:dyDescent="0.15">
      <c r="A521" s="1"/>
      <c r="B521" s="16"/>
      <c r="C521" s="16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3"/>
      <c r="P521" s="34"/>
      <c r="Q521" s="25"/>
    </row>
    <row r="522" spans="1:17" x14ac:dyDescent="0.15">
      <c r="A522" s="1"/>
      <c r="B522" s="16"/>
      <c r="C522" s="16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3"/>
      <c r="P522" s="34"/>
      <c r="Q522" s="25"/>
    </row>
    <row r="523" spans="1:17" x14ac:dyDescent="0.15">
      <c r="A523" s="1"/>
      <c r="B523" s="16"/>
      <c r="C523" s="16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3"/>
      <c r="P523" s="34"/>
      <c r="Q523" s="25"/>
    </row>
    <row r="524" spans="1:17" x14ac:dyDescent="0.15">
      <c r="A524" s="1"/>
      <c r="B524" s="16"/>
      <c r="C524" s="16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3"/>
      <c r="P524" s="34"/>
      <c r="Q524" s="25"/>
    </row>
    <row r="525" spans="1:17" x14ac:dyDescent="0.15">
      <c r="A525" s="1"/>
      <c r="B525" s="16"/>
      <c r="C525" s="16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4"/>
      <c r="Q525" s="25"/>
    </row>
    <row r="526" spans="1:17" x14ac:dyDescent="0.15">
      <c r="A526" s="1"/>
      <c r="B526" s="16"/>
      <c r="C526" s="16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4"/>
      <c r="Q526" s="25"/>
    </row>
    <row r="527" spans="1:17" x14ac:dyDescent="0.15">
      <c r="A527" s="1"/>
      <c r="B527" s="16"/>
      <c r="C527" s="16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4"/>
      <c r="Q527" s="25"/>
    </row>
    <row r="528" spans="1:17" x14ac:dyDescent="0.15">
      <c r="A528" s="1"/>
      <c r="B528" s="16"/>
      <c r="C528" s="16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4"/>
      <c r="Q528" s="25"/>
    </row>
    <row r="529" spans="1:17" x14ac:dyDescent="0.15">
      <c r="A529" s="1"/>
      <c r="B529" s="16"/>
      <c r="C529" s="16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4"/>
      <c r="Q529" s="25"/>
    </row>
    <row r="530" spans="1:17" x14ac:dyDescent="0.15">
      <c r="A530" s="1"/>
      <c r="B530" s="16"/>
      <c r="C530" s="16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4"/>
      <c r="Q530" s="25"/>
    </row>
    <row r="531" spans="1:17" x14ac:dyDescent="0.15">
      <c r="A531" s="1"/>
      <c r="B531" s="16"/>
      <c r="C531" s="16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4"/>
      <c r="Q531" s="25"/>
    </row>
    <row r="532" spans="1:17" x14ac:dyDescent="0.15">
      <c r="A532" s="1"/>
      <c r="B532" s="16"/>
      <c r="C532" s="16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4"/>
      <c r="Q532" s="25"/>
    </row>
    <row r="533" spans="1:17" x14ac:dyDescent="0.15">
      <c r="A533" s="1"/>
      <c r="B533" s="16"/>
      <c r="C533" s="16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4"/>
      <c r="Q533" s="25"/>
    </row>
    <row r="534" spans="1:17" x14ac:dyDescent="0.15">
      <c r="A534" s="1"/>
      <c r="B534" s="16"/>
      <c r="C534" s="16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4"/>
      <c r="Q534" s="25"/>
    </row>
    <row r="535" spans="1:17" x14ac:dyDescent="0.15">
      <c r="A535" s="1"/>
      <c r="B535" s="16"/>
      <c r="C535" s="16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4"/>
      <c r="Q535" s="25"/>
    </row>
    <row r="536" spans="1:17" x14ac:dyDescent="0.15">
      <c r="A536" s="1"/>
      <c r="B536" s="16"/>
      <c r="C536" s="16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4"/>
      <c r="Q536" s="25"/>
    </row>
    <row r="537" spans="1:17" x14ac:dyDescent="0.15">
      <c r="A537" s="1"/>
      <c r="B537" s="16"/>
      <c r="C537" s="16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4"/>
      <c r="Q537" s="25"/>
    </row>
    <row r="538" spans="1:17" x14ac:dyDescent="0.15">
      <c r="A538" s="1"/>
      <c r="B538" s="16"/>
      <c r="C538" s="16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4"/>
      <c r="Q538" s="25"/>
    </row>
    <row r="539" spans="1:17" x14ac:dyDescent="0.15">
      <c r="A539" s="1"/>
      <c r="B539" s="16"/>
      <c r="C539" s="16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4"/>
      <c r="Q539" s="25"/>
    </row>
    <row r="540" spans="1:17" x14ac:dyDescent="0.15">
      <c r="A540" s="1"/>
      <c r="B540" s="16"/>
      <c r="C540" s="16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4"/>
      <c r="Q540" s="25"/>
    </row>
    <row r="541" spans="1:17" x14ac:dyDescent="0.15">
      <c r="A541" s="1"/>
      <c r="B541" s="16"/>
      <c r="C541" s="16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4"/>
      <c r="Q541" s="25"/>
    </row>
    <row r="542" spans="1:17" x14ac:dyDescent="0.15">
      <c r="A542" s="1"/>
      <c r="B542" s="16"/>
      <c r="C542" s="16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4"/>
      <c r="Q542" s="25"/>
    </row>
    <row r="543" spans="1:17" x14ac:dyDescent="0.15">
      <c r="A543" s="1"/>
      <c r="B543" s="16"/>
      <c r="C543" s="16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4"/>
      <c r="Q543" s="25"/>
    </row>
    <row r="544" spans="1:17" x14ac:dyDescent="0.15">
      <c r="A544" s="1"/>
      <c r="B544" s="16"/>
      <c r="C544" s="16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4"/>
      <c r="Q544" s="25"/>
    </row>
    <row r="545" spans="1:17" x14ac:dyDescent="0.15">
      <c r="A545" s="1"/>
      <c r="B545" s="16"/>
      <c r="C545" s="16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4"/>
      <c r="Q545" s="25"/>
    </row>
    <row r="546" spans="1:17" x14ac:dyDescent="0.15">
      <c r="A546" s="1"/>
      <c r="B546" s="16"/>
      <c r="C546" s="16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4"/>
      <c r="Q546" s="25"/>
    </row>
    <row r="547" spans="1:17" x14ac:dyDescent="0.15">
      <c r="A547" s="1"/>
      <c r="B547" s="16"/>
      <c r="C547" s="16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4"/>
      <c r="Q547" s="25"/>
    </row>
    <row r="548" spans="1:17" x14ac:dyDescent="0.15">
      <c r="A548" s="1"/>
      <c r="B548" s="16"/>
      <c r="C548" s="16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4"/>
      <c r="Q548" s="25"/>
    </row>
    <row r="549" spans="1:17" x14ac:dyDescent="0.15">
      <c r="A549" s="1"/>
      <c r="B549" s="16"/>
      <c r="C549" s="16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4"/>
      <c r="Q549" s="25"/>
    </row>
    <row r="550" spans="1:17" x14ac:dyDescent="0.15">
      <c r="A550" s="1"/>
      <c r="B550" s="16"/>
      <c r="C550" s="16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4"/>
      <c r="Q550" s="25"/>
    </row>
    <row r="551" spans="1:17" x14ac:dyDescent="0.15">
      <c r="A551" s="1"/>
      <c r="B551" s="16"/>
      <c r="C551" s="16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4"/>
      <c r="Q551" s="25"/>
    </row>
    <row r="552" spans="1:17" x14ac:dyDescent="0.15">
      <c r="A552" s="1"/>
      <c r="B552" s="16"/>
      <c r="C552" s="16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4"/>
      <c r="Q552" s="25"/>
    </row>
    <row r="553" spans="1:17" x14ac:dyDescent="0.15">
      <c r="A553" s="1"/>
      <c r="B553" s="16"/>
      <c r="C553" s="16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4"/>
      <c r="Q553" s="25"/>
    </row>
    <row r="554" spans="1:17" x14ac:dyDescent="0.15">
      <c r="A554" s="1"/>
      <c r="B554" s="16"/>
      <c r="C554" s="16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4"/>
      <c r="Q554" s="25"/>
    </row>
    <row r="555" spans="1:17" x14ac:dyDescent="0.15">
      <c r="A555" s="1"/>
      <c r="B555" s="16"/>
      <c r="C555" s="16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4"/>
      <c r="Q555" s="25"/>
    </row>
    <row r="556" spans="1:17" x14ac:dyDescent="0.15">
      <c r="A556" s="1"/>
      <c r="B556" s="16"/>
      <c r="C556" s="16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4"/>
      <c r="Q556" s="25"/>
    </row>
    <row r="557" spans="1:17" x14ac:dyDescent="0.15">
      <c r="A557" s="1"/>
      <c r="B557" s="16"/>
      <c r="C557" s="16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4"/>
      <c r="Q557" s="25"/>
    </row>
    <row r="558" spans="1:17" x14ac:dyDescent="0.15">
      <c r="A558" s="1"/>
      <c r="B558" s="16"/>
      <c r="C558" s="16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4"/>
      <c r="Q558" s="25"/>
    </row>
    <row r="559" spans="1:17" x14ac:dyDescent="0.15">
      <c r="A559" s="1"/>
      <c r="B559" s="16"/>
      <c r="C559" s="16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4"/>
      <c r="Q559" s="25"/>
    </row>
    <row r="560" spans="1:17" x14ac:dyDescent="0.15">
      <c r="A560" s="1"/>
      <c r="B560" s="16"/>
      <c r="C560" s="16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4"/>
      <c r="Q560" s="25"/>
    </row>
    <row r="561" spans="1:17" x14ac:dyDescent="0.15">
      <c r="A561" s="1"/>
      <c r="B561" s="16"/>
      <c r="C561" s="16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4"/>
      <c r="Q561" s="25"/>
    </row>
    <row r="562" spans="1:17" x14ac:dyDescent="0.15">
      <c r="A562" s="1"/>
      <c r="B562" s="16"/>
      <c r="C562" s="16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4"/>
      <c r="Q562" s="25"/>
    </row>
    <row r="563" spans="1:17" x14ac:dyDescent="0.15">
      <c r="A563" s="1"/>
      <c r="B563" s="16"/>
      <c r="C563" s="16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4"/>
      <c r="Q563" s="25"/>
    </row>
    <row r="564" spans="1:17" x14ac:dyDescent="0.15">
      <c r="A564" s="1"/>
      <c r="B564" s="16"/>
      <c r="C564" s="16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4"/>
      <c r="Q564" s="25"/>
    </row>
    <row r="565" spans="1:17" x14ac:dyDescent="0.15">
      <c r="A565" s="1"/>
      <c r="B565" s="16"/>
      <c r="C565" s="16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4"/>
      <c r="Q565" s="25"/>
    </row>
    <row r="566" spans="1:17" x14ac:dyDescent="0.15">
      <c r="A566" s="1"/>
      <c r="B566" s="16"/>
      <c r="C566" s="16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4"/>
      <c r="Q566" s="25"/>
    </row>
    <row r="567" spans="1:17" x14ac:dyDescent="0.15">
      <c r="A567" s="1"/>
      <c r="B567" s="16"/>
      <c r="C567" s="16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4"/>
      <c r="Q567" s="25"/>
    </row>
    <row r="568" spans="1:17" x14ac:dyDescent="0.15">
      <c r="A568" s="1"/>
      <c r="B568" s="16"/>
      <c r="C568" s="16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4"/>
      <c r="Q568" s="25"/>
    </row>
    <row r="569" spans="1:17" x14ac:dyDescent="0.15">
      <c r="A569" s="1"/>
      <c r="B569" s="16"/>
      <c r="C569" s="16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4"/>
      <c r="Q569" s="25"/>
    </row>
    <row r="570" spans="1:17" x14ac:dyDescent="0.15">
      <c r="A570" s="1"/>
      <c r="B570" s="16"/>
      <c r="C570" s="16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4"/>
      <c r="Q570" s="25"/>
    </row>
    <row r="571" spans="1:17" x14ac:dyDescent="0.15">
      <c r="A571" s="1"/>
      <c r="B571" s="16"/>
      <c r="C571" s="16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4"/>
      <c r="Q571" s="25"/>
    </row>
    <row r="572" spans="1:17" x14ac:dyDescent="0.15">
      <c r="A572" s="1"/>
      <c r="B572" s="16"/>
      <c r="C572" s="16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4"/>
      <c r="Q572" s="25"/>
    </row>
    <row r="573" spans="1:17" x14ac:dyDescent="0.15">
      <c r="A573" s="1"/>
      <c r="B573" s="16"/>
      <c r="C573" s="16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4"/>
      <c r="Q573" s="25"/>
    </row>
    <row r="574" spans="1:17" x14ac:dyDescent="0.15">
      <c r="A574" s="1"/>
      <c r="B574" s="16"/>
      <c r="C574" s="16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4"/>
      <c r="Q574" s="25"/>
    </row>
    <row r="575" spans="1:17" x14ac:dyDescent="0.15">
      <c r="A575" s="1"/>
      <c r="B575" s="16"/>
      <c r="C575" s="16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4"/>
      <c r="Q575" s="25"/>
    </row>
    <row r="576" spans="1:17" x14ac:dyDescent="0.15">
      <c r="A576" s="1"/>
      <c r="B576" s="16"/>
      <c r="C576" s="16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4"/>
      <c r="Q576" s="25"/>
    </row>
    <row r="577" spans="1:17" x14ac:dyDescent="0.15">
      <c r="A577" s="1"/>
      <c r="B577" s="16"/>
      <c r="C577" s="16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4"/>
      <c r="Q577" s="25"/>
    </row>
    <row r="578" spans="1:17" x14ac:dyDescent="0.15">
      <c r="A578" s="1"/>
      <c r="B578" s="16"/>
      <c r="C578" s="16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4"/>
      <c r="Q578" s="25"/>
    </row>
    <row r="579" spans="1:17" x14ac:dyDescent="0.15">
      <c r="A579" s="1"/>
      <c r="B579" s="16"/>
      <c r="C579" s="16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4"/>
      <c r="Q579" s="25"/>
    </row>
    <row r="580" spans="1:17" x14ac:dyDescent="0.15">
      <c r="A580" s="1"/>
      <c r="B580" s="16"/>
      <c r="C580" s="16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4"/>
      <c r="Q580" s="25"/>
    </row>
    <row r="581" spans="1:17" x14ac:dyDescent="0.15">
      <c r="A581" s="1"/>
      <c r="B581" s="16"/>
      <c r="C581" s="16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4"/>
      <c r="Q581" s="25"/>
    </row>
    <row r="582" spans="1:17" x14ac:dyDescent="0.15">
      <c r="A582" s="1"/>
      <c r="B582" s="16"/>
      <c r="C582" s="16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4"/>
      <c r="Q582" s="25"/>
    </row>
    <row r="583" spans="1:17" x14ac:dyDescent="0.15">
      <c r="A583" s="1"/>
      <c r="B583" s="16"/>
      <c r="C583" s="16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4"/>
      <c r="Q583" s="25"/>
    </row>
    <row r="584" spans="1:17" x14ac:dyDescent="0.15">
      <c r="A584" s="1"/>
      <c r="B584" s="16"/>
      <c r="C584" s="16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4"/>
      <c r="Q584" s="25"/>
    </row>
    <row r="585" spans="1:17" x14ac:dyDescent="0.15">
      <c r="A585" s="1"/>
      <c r="B585" s="16"/>
      <c r="C585" s="16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4"/>
      <c r="Q585" s="25"/>
    </row>
    <row r="586" spans="1:17" x14ac:dyDescent="0.15">
      <c r="A586" s="1"/>
      <c r="B586" s="16"/>
      <c r="C586" s="16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4"/>
      <c r="Q586" s="25"/>
    </row>
    <row r="587" spans="1:17" x14ac:dyDescent="0.15">
      <c r="A587" s="1"/>
      <c r="B587" s="16"/>
      <c r="C587" s="16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4"/>
      <c r="Q587" s="25"/>
    </row>
    <row r="588" spans="1:17" x14ac:dyDescent="0.15">
      <c r="A588" s="1"/>
      <c r="B588" s="16"/>
      <c r="C588" s="16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4"/>
      <c r="Q588" s="25"/>
    </row>
    <row r="589" spans="1:17" x14ac:dyDescent="0.15">
      <c r="A589" s="1"/>
      <c r="B589" s="16"/>
      <c r="C589" s="16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4"/>
      <c r="Q589" s="25"/>
    </row>
    <row r="590" spans="1:17" x14ac:dyDescent="0.15">
      <c r="A590" s="1"/>
      <c r="B590" s="16"/>
      <c r="C590" s="16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4"/>
      <c r="Q590" s="25"/>
    </row>
    <row r="591" spans="1:17" x14ac:dyDescent="0.15">
      <c r="A591" s="1"/>
      <c r="B591" s="16"/>
      <c r="C591" s="16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4"/>
      <c r="Q591" s="25"/>
    </row>
    <row r="592" spans="1:17" x14ac:dyDescent="0.15">
      <c r="A592" s="1"/>
      <c r="B592" s="16"/>
      <c r="C592" s="16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4"/>
      <c r="Q592" s="25"/>
    </row>
    <row r="593" spans="1:17" x14ac:dyDescent="0.15">
      <c r="A593" s="1"/>
      <c r="B593" s="16"/>
      <c r="C593" s="16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4"/>
      <c r="Q593" s="25"/>
    </row>
    <row r="594" spans="1:17" x14ac:dyDescent="0.15">
      <c r="A594" s="1"/>
      <c r="B594" s="16"/>
      <c r="C594" s="16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4"/>
      <c r="Q594" s="25"/>
    </row>
    <row r="595" spans="1:17" x14ac:dyDescent="0.15">
      <c r="A595" s="1"/>
      <c r="B595" s="16"/>
      <c r="C595" s="16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4"/>
      <c r="Q595" s="25"/>
    </row>
    <row r="596" spans="1:17" x14ac:dyDescent="0.15">
      <c r="A596" s="1"/>
      <c r="B596" s="16"/>
      <c r="C596" s="16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4"/>
      <c r="Q596" s="25"/>
    </row>
    <row r="597" spans="1:17" x14ac:dyDescent="0.15">
      <c r="A597" s="1"/>
      <c r="B597" s="16"/>
      <c r="C597" s="16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4"/>
      <c r="Q597" s="25"/>
    </row>
    <row r="598" spans="1:17" x14ac:dyDescent="0.15">
      <c r="A598" s="1"/>
      <c r="B598" s="16"/>
      <c r="C598" s="16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4"/>
      <c r="Q598" s="25"/>
    </row>
    <row r="599" spans="1:17" x14ac:dyDescent="0.15">
      <c r="A599" s="1"/>
      <c r="B599" s="16"/>
      <c r="C599" s="16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4"/>
      <c r="Q599" s="25"/>
    </row>
    <row r="600" spans="1:17" x14ac:dyDescent="0.15">
      <c r="A600" s="1"/>
      <c r="B600" s="16"/>
      <c r="C600" s="16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4"/>
      <c r="Q600" s="25"/>
    </row>
    <row r="601" spans="1:17" x14ac:dyDescent="0.15">
      <c r="A601" s="1"/>
      <c r="B601" s="16"/>
      <c r="C601" s="16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4"/>
      <c r="Q601" s="25"/>
    </row>
    <row r="602" spans="1:17" x14ac:dyDescent="0.15">
      <c r="A602" s="1"/>
      <c r="B602" s="16"/>
      <c r="C602" s="16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4"/>
      <c r="Q602" s="25"/>
    </row>
    <row r="603" spans="1:17" x14ac:dyDescent="0.15">
      <c r="A603" s="1"/>
      <c r="B603" s="16"/>
      <c r="C603" s="16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4"/>
      <c r="Q603" s="25"/>
    </row>
    <row r="604" spans="1:17" x14ac:dyDescent="0.15">
      <c r="A604" s="1"/>
      <c r="B604" s="16"/>
      <c r="C604" s="16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4"/>
      <c r="Q604" s="25"/>
    </row>
    <row r="605" spans="1:17" x14ac:dyDescent="0.15">
      <c r="A605" s="1"/>
      <c r="B605" s="16"/>
      <c r="C605" s="16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4"/>
      <c r="Q605" s="25"/>
    </row>
    <row r="606" spans="1:17" x14ac:dyDescent="0.15">
      <c r="A606" s="1"/>
      <c r="B606" s="16"/>
      <c r="C606" s="16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4"/>
      <c r="Q606" s="25"/>
    </row>
    <row r="607" spans="1:17" x14ac:dyDescent="0.15">
      <c r="A607" s="1"/>
      <c r="B607" s="16"/>
      <c r="C607" s="16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4"/>
      <c r="Q607" s="25"/>
    </row>
    <row r="608" spans="1:17" x14ac:dyDescent="0.15">
      <c r="A608" s="1"/>
      <c r="B608" s="16"/>
      <c r="C608" s="16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4"/>
      <c r="Q608" s="25"/>
    </row>
    <row r="609" spans="1:17" x14ac:dyDescent="0.15">
      <c r="A609" s="1"/>
      <c r="B609" s="16"/>
      <c r="C609" s="16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4"/>
      <c r="Q609" s="25"/>
    </row>
    <row r="610" spans="1:17" x14ac:dyDescent="0.15">
      <c r="A610" s="1"/>
      <c r="B610" s="16"/>
      <c r="C610" s="16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4"/>
      <c r="Q610" s="25"/>
    </row>
    <row r="611" spans="1:17" x14ac:dyDescent="0.15">
      <c r="A611" s="1"/>
      <c r="B611" s="16"/>
      <c r="C611" s="16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4"/>
      <c r="Q611" s="25"/>
    </row>
    <row r="612" spans="1:17" x14ac:dyDescent="0.15">
      <c r="A612" s="1"/>
      <c r="B612" s="16"/>
      <c r="C612" s="16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4"/>
      <c r="Q612" s="25"/>
    </row>
    <row r="613" spans="1:17" x14ac:dyDescent="0.15">
      <c r="A613" s="1"/>
      <c r="B613" s="16"/>
      <c r="C613" s="16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4"/>
      <c r="Q613" s="25"/>
    </row>
    <row r="614" spans="1:17" x14ac:dyDescent="0.15">
      <c r="A614" s="1"/>
      <c r="B614" s="16"/>
      <c r="C614" s="16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4"/>
      <c r="Q614" s="25"/>
    </row>
    <row r="615" spans="1:17" x14ac:dyDescent="0.15">
      <c r="A615" s="1"/>
      <c r="B615" s="16"/>
      <c r="C615" s="16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4"/>
      <c r="Q615" s="25"/>
    </row>
    <row r="616" spans="1:17" x14ac:dyDescent="0.15">
      <c r="A616" s="1"/>
      <c r="B616" s="16"/>
      <c r="C616" s="16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4"/>
      <c r="Q616" s="25"/>
    </row>
    <row r="617" spans="1:17" x14ac:dyDescent="0.15">
      <c r="A617" s="1"/>
      <c r="B617" s="16"/>
      <c r="C617" s="16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4"/>
      <c r="Q617" s="25"/>
    </row>
    <row r="618" spans="1:17" x14ac:dyDescent="0.15">
      <c r="A618" s="1"/>
      <c r="B618" s="16"/>
      <c r="C618" s="16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4"/>
      <c r="Q618" s="25"/>
    </row>
    <row r="619" spans="1:17" x14ac:dyDescent="0.15">
      <c r="A619" s="1"/>
      <c r="B619" s="16"/>
      <c r="C619" s="16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4"/>
      <c r="Q619" s="25"/>
    </row>
    <row r="620" spans="1:17" x14ac:dyDescent="0.15">
      <c r="A620" s="1"/>
      <c r="B620" s="16"/>
      <c r="C620" s="16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4"/>
      <c r="Q620" s="25"/>
    </row>
    <row r="621" spans="1:17" x14ac:dyDescent="0.15">
      <c r="A621" s="1"/>
      <c r="B621" s="16"/>
      <c r="C621" s="16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4"/>
      <c r="Q621" s="25"/>
    </row>
    <row r="622" spans="1:17" x14ac:dyDescent="0.15">
      <c r="A622" s="1"/>
      <c r="B622" s="16"/>
      <c r="C622" s="16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4"/>
      <c r="Q622" s="25"/>
    </row>
    <row r="623" spans="1:17" x14ac:dyDescent="0.15">
      <c r="A623" s="1"/>
      <c r="B623" s="16"/>
      <c r="C623" s="16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4"/>
      <c r="Q623" s="25"/>
    </row>
    <row r="624" spans="1:17" x14ac:dyDescent="0.15">
      <c r="A624" s="1"/>
      <c r="B624" s="16"/>
      <c r="C624" s="16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4"/>
      <c r="Q624" s="25"/>
    </row>
    <row r="625" spans="1:17" x14ac:dyDescent="0.15">
      <c r="A625" s="1"/>
      <c r="B625" s="16"/>
      <c r="C625" s="16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4"/>
      <c r="Q625" s="25"/>
    </row>
    <row r="626" spans="1:17" x14ac:dyDescent="0.15">
      <c r="A626" s="1"/>
      <c r="B626" s="16"/>
      <c r="C626" s="16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4"/>
      <c r="Q626" s="25"/>
    </row>
    <row r="627" spans="1:17" x14ac:dyDescent="0.15">
      <c r="A627" s="1"/>
      <c r="B627" s="16"/>
      <c r="C627" s="16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4"/>
      <c r="Q627" s="25"/>
    </row>
    <row r="628" spans="1:17" x14ac:dyDescent="0.15">
      <c r="A628" s="1"/>
      <c r="B628" s="16"/>
      <c r="C628" s="16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4"/>
      <c r="Q628" s="25"/>
    </row>
    <row r="629" spans="1:17" x14ac:dyDescent="0.15">
      <c r="A629" s="1"/>
      <c r="B629" s="16"/>
      <c r="C629" s="16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4"/>
      <c r="Q629" s="25"/>
    </row>
    <row r="630" spans="1:17" x14ac:dyDescent="0.15">
      <c r="A630" s="1"/>
      <c r="B630" s="16"/>
      <c r="C630" s="16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4"/>
      <c r="Q630" s="25"/>
    </row>
    <row r="631" spans="1:17" x14ac:dyDescent="0.15">
      <c r="A631" s="1"/>
      <c r="B631" s="16"/>
      <c r="C631" s="16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4"/>
      <c r="Q631" s="25"/>
    </row>
    <row r="632" spans="1:17" x14ac:dyDescent="0.15">
      <c r="A632" s="1"/>
      <c r="B632" s="16"/>
      <c r="C632" s="16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4"/>
      <c r="Q632" s="25"/>
    </row>
    <row r="633" spans="1:17" x14ac:dyDescent="0.15">
      <c r="A633" s="1"/>
      <c r="B633" s="16"/>
      <c r="C633" s="16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4"/>
      <c r="Q633" s="25"/>
    </row>
    <row r="634" spans="1:17" x14ac:dyDescent="0.15">
      <c r="A634" s="1"/>
      <c r="B634" s="16"/>
      <c r="C634" s="16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4"/>
      <c r="Q634" s="25"/>
    </row>
    <row r="635" spans="1:17" x14ac:dyDescent="0.15">
      <c r="A635" s="1"/>
      <c r="B635" s="16"/>
      <c r="C635" s="16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4"/>
      <c r="Q635" s="25"/>
    </row>
    <row r="636" spans="1:17" x14ac:dyDescent="0.15">
      <c r="A636" s="1"/>
      <c r="B636" s="16"/>
      <c r="C636" s="16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4"/>
      <c r="Q636" s="25"/>
    </row>
    <row r="637" spans="1:17" x14ac:dyDescent="0.15">
      <c r="A637" s="1"/>
      <c r="B637" s="16"/>
      <c r="C637" s="16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4"/>
      <c r="Q637" s="25"/>
    </row>
    <row r="638" spans="1:17" x14ac:dyDescent="0.15">
      <c r="A638" s="1"/>
      <c r="B638" s="16"/>
      <c r="C638" s="16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4"/>
      <c r="Q638" s="25"/>
    </row>
    <row r="639" spans="1:17" x14ac:dyDescent="0.15">
      <c r="A639" s="1"/>
      <c r="B639" s="16"/>
      <c r="C639" s="16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4"/>
      <c r="Q639" s="25"/>
    </row>
    <row r="640" spans="1:17" x14ac:dyDescent="0.15">
      <c r="A640" s="1"/>
      <c r="B640" s="16"/>
      <c r="C640" s="16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4"/>
      <c r="Q640" s="25"/>
    </row>
    <row r="641" spans="1:17" x14ac:dyDescent="0.15">
      <c r="A641" s="1"/>
      <c r="B641" s="16"/>
      <c r="C641" s="16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4"/>
      <c r="Q641" s="25"/>
    </row>
    <row r="642" spans="1:17" x14ac:dyDescent="0.15">
      <c r="A642" s="1"/>
      <c r="B642" s="16"/>
      <c r="C642" s="16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4"/>
      <c r="Q642" s="25"/>
    </row>
    <row r="643" spans="1:17" x14ac:dyDescent="0.15">
      <c r="A643" s="1"/>
      <c r="B643" s="16"/>
      <c r="C643" s="16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4"/>
      <c r="Q643" s="25"/>
    </row>
    <row r="644" spans="1:17" x14ac:dyDescent="0.15">
      <c r="A644" s="1"/>
      <c r="B644" s="16"/>
      <c r="C644" s="16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4"/>
      <c r="Q644" s="25"/>
    </row>
    <row r="645" spans="1:17" x14ac:dyDescent="0.15">
      <c r="A645" s="1"/>
      <c r="B645" s="16"/>
      <c r="C645" s="16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4"/>
      <c r="Q645" s="25"/>
    </row>
    <row r="646" spans="1:17" x14ac:dyDescent="0.15">
      <c r="A646" s="1"/>
      <c r="B646" s="16"/>
      <c r="C646" s="16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4"/>
      <c r="Q646" s="25"/>
    </row>
    <row r="647" spans="1:17" x14ac:dyDescent="0.15">
      <c r="A647" s="1"/>
      <c r="B647" s="16"/>
      <c r="C647" s="16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4"/>
      <c r="Q647" s="25"/>
    </row>
    <row r="648" spans="1:17" x14ac:dyDescent="0.15">
      <c r="A648" s="1"/>
      <c r="B648" s="16"/>
      <c r="C648" s="16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4"/>
      <c r="Q648" s="25"/>
    </row>
    <row r="649" spans="1:17" x14ac:dyDescent="0.15">
      <c r="A649" s="1"/>
      <c r="B649" s="16"/>
      <c r="C649" s="16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4"/>
      <c r="Q649" s="25"/>
    </row>
    <row r="650" spans="1:17" x14ac:dyDescent="0.15">
      <c r="A650" s="1"/>
      <c r="B650" s="16"/>
      <c r="C650" s="16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4"/>
      <c r="Q650" s="25"/>
    </row>
    <row r="651" spans="1:17" x14ac:dyDescent="0.15">
      <c r="A651" s="1"/>
      <c r="B651" s="16"/>
      <c r="C651" s="16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4"/>
      <c r="Q651" s="25"/>
    </row>
    <row r="652" spans="1:17" x14ac:dyDescent="0.15">
      <c r="A652" s="1"/>
      <c r="B652" s="16"/>
      <c r="C652" s="16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4"/>
      <c r="Q652" s="25"/>
    </row>
    <row r="653" spans="1:17" x14ac:dyDescent="0.15">
      <c r="A653" s="1"/>
      <c r="B653" s="16"/>
      <c r="C653" s="16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4"/>
      <c r="Q653" s="25"/>
    </row>
    <row r="654" spans="1:17" x14ac:dyDescent="0.15">
      <c r="A654" s="1"/>
      <c r="B654" s="16"/>
      <c r="C654" s="16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4"/>
      <c r="Q654" s="25"/>
    </row>
    <row r="655" spans="1:17" x14ac:dyDescent="0.15">
      <c r="A655" s="1"/>
      <c r="B655" s="16"/>
      <c r="C655" s="16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4"/>
      <c r="Q655" s="25"/>
    </row>
    <row r="656" spans="1:17" x14ac:dyDescent="0.15">
      <c r="A656" s="1"/>
      <c r="B656" s="16"/>
      <c r="C656" s="16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4"/>
      <c r="Q656" s="25"/>
    </row>
    <row r="657" spans="1:17" x14ac:dyDescent="0.15">
      <c r="A657" s="1"/>
      <c r="B657" s="16"/>
      <c r="C657" s="16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4"/>
      <c r="Q657" s="25"/>
    </row>
    <row r="658" spans="1:17" x14ac:dyDescent="0.15">
      <c r="A658" s="1"/>
      <c r="B658" s="16"/>
      <c r="C658" s="16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4"/>
      <c r="Q658" s="25"/>
    </row>
    <row r="659" spans="1:17" x14ac:dyDescent="0.15">
      <c r="A659" s="1"/>
      <c r="B659" s="16"/>
      <c r="C659" s="16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4"/>
      <c r="Q659" s="25"/>
    </row>
    <row r="660" spans="1:17" x14ac:dyDescent="0.15">
      <c r="A660" s="1"/>
      <c r="B660" s="16"/>
      <c r="C660" s="16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4"/>
      <c r="Q660" s="25"/>
    </row>
    <row r="661" spans="1:17" x14ac:dyDescent="0.15">
      <c r="A661" s="1"/>
      <c r="B661" s="16"/>
      <c r="C661" s="16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4"/>
      <c r="Q661" s="25"/>
    </row>
    <row r="662" spans="1:17" x14ac:dyDescent="0.15">
      <c r="A662" s="1"/>
      <c r="B662" s="16"/>
      <c r="C662" s="16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4"/>
      <c r="Q662" s="25"/>
    </row>
    <row r="663" spans="1:17" x14ac:dyDescent="0.15">
      <c r="A663" s="1"/>
      <c r="B663" s="16"/>
      <c r="C663" s="16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4"/>
      <c r="Q663" s="25"/>
    </row>
    <row r="664" spans="1:17" x14ac:dyDescent="0.15">
      <c r="A664" s="1"/>
      <c r="B664" s="16"/>
      <c r="C664" s="16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4"/>
      <c r="Q664" s="25"/>
    </row>
    <row r="665" spans="1:17" x14ac:dyDescent="0.15">
      <c r="A665" s="1"/>
      <c r="B665" s="16"/>
      <c r="C665" s="16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4"/>
      <c r="Q665" s="25"/>
    </row>
    <row r="666" spans="1:17" x14ac:dyDescent="0.15">
      <c r="A666" s="1"/>
      <c r="B666" s="16"/>
      <c r="C666" s="16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4"/>
      <c r="Q666" s="25"/>
    </row>
    <row r="667" spans="1:17" x14ac:dyDescent="0.15">
      <c r="A667" s="1"/>
      <c r="B667" s="16"/>
      <c r="C667" s="16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4"/>
      <c r="Q667" s="25"/>
    </row>
    <row r="668" spans="1:17" x14ac:dyDescent="0.15">
      <c r="A668" s="1"/>
      <c r="B668" s="16"/>
      <c r="C668" s="16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4"/>
      <c r="Q668" s="25"/>
    </row>
    <row r="669" spans="1:17" x14ac:dyDescent="0.15">
      <c r="A669" s="1"/>
      <c r="B669" s="16"/>
      <c r="C669" s="16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4"/>
      <c r="Q669" s="25"/>
    </row>
    <row r="670" spans="1:17" x14ac:dyDescent="0.15">
      <c r="A670" s="1"/>
      <c r="B670" s="16"/>
      <c r="C670" s="16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4"/>
      <c r="Q670" s="25"/>
    </row>
    <row r="671" spans="1:17" x14ac:dyDescent="0.15">
      <c r="A671" s="1"/>
      <c r="B671" s="16"/>
      <c r="C671" s="16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4"/>
      <c r="Q671" s="25"/>
    </row>
    <row r="672" spans="1:17" x14ac:dyDescent="0.15">
      <c r="A672" s="1"/>
      <c r="B672" s="16"/>
      <c r="C672" s="16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4"/>
      <c r="Q672" s="25"/>
    </row>
    <row r="673" spans="1:17" x14ac:dyDescent="0.15">
      <c r="A673" s="1"/>
      <c r="B673" s="16"/>
      <c r="C673" s="16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4"/>
      <c r="Q673" s="25"/>
    </row>
    <row r="674" spans="1:17" x14ac:dyDescent="0.15">
      <c r="A674" s="1"/>
      <c r="B674" s="16"/>
      <c r="C674" s="16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4"/>
      <c r="Q674" s="25"/>
    </row>
    <row r="675" spans="1:17" x14ac:dyDescent="0.15">
      <c r="A675" s="1"/>
      <c r="B675" s="16"/>
      <c r="C675" s="16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4"/>
      <c r="Q675" s="25"/>
    </row>
    <row r="676" spans="1:17" x14ac:dyDescent="0.15">
      <c r="A676" s="1"/>
      <c r="B676" s="16"/>
      <c r="C676" s="16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4"/>
      <c r="Q676" s="25"/>
    </row>
    <row r="677" spans="1:17" x14ac:dyDescent="0.15">
      <c r="A677" s="1"/>
      <c r="B677" s="16"/>
      <c r="C677" s="16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4"/>
      <c r="Q677" s="25"/>
    </row>
    <row r="678" spans="1:17" x14ac:dyDescent="0.15">
      <c r="A678" s="1"/>
      <c r="B678" s="16"/>
      <c r="C678" s="16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4"/>
      <c r="Q678" s="25"/>
    </row>
    <row r="679" spans="1:17" x14ac:dyDescent="0.15">
      <c r="A679" s="1"/>
      <c r="B679" s="16"/>
      <c r="C679" s="16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4"/>
      <c r="Q679" s="25"/>
    </row>
    <row r="680" spans="1:17" x14ac:dyDescent="0.15">
      <c r="A680" s="1"/>
      <c r="B680" s="16"/>
      <c r="C680" s="16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4"/>
      <c r="Q680" s="25"/>
    </row>
    <row r="681" spans="1:17" x14ac:dyDescent="0.15">
      <c r="A681" s="1"/>
      <c r="B681" s="16"/>
      <c r="C681" s="16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4"/>
      <c r="Q681" s="25"/>
    </row>
    <row r="682" spans="1:17" x14ac:dyDescent="0.15">
      <c r="A682" s="1"/>
      <c r="B682" s="16"/>
      <c r="C682" s="16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4"/>
      <c r="Q682" s="25"/>
    </row>
    <row r="683" spans="1:17" x14ac:dyDescent="0.15">
      <c r="A683" s="1"/>
      <c r="B683" s="16"/>
      <c r="C683" s="16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4"/>
      <c r="Q683" s="25"/>
    </row>
    <row r="684" spans="1:17" x14ac:dyDescent="0.15">
      <c r="A684" s="1"/>
      <c r="B684" s="16"/>
      <c r="C684" s="16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4"/>
      <c r="Q684" s="25"/>
    </row>
    <row r="685" spans="1:17" x14ac:dyDescent="0.15">
      <c r="A685" s="1"/>
      <c r="B685" s="16"/>
      <c r="C685" s="16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4"/>
      <c r="Q685" s="25"/>
    </row>
    <row r="686" spans="1:17" x14ac:dyDescent="0.15">
      <c r="A686" s="1"/>
      <c r="B686" s="16"/>
      <c r="C686" s="16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4"/>
      <c r="Q686" s="25"/>
    </row>
    <row r="687" spans="1:17" x14ac:dyDescent="0.15">
      <c r="A687" s="1"/>
      <c r="B687" s="16"/>
      <c r="C687" s="16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4"/>
      <c r="Q687" s="25"/>
    </row>
    <row r="688" spans="1:17" x14ac:dyDescent="0.15">
      <c r="A688" s="1"/>
      <c r="B688" s="16"/>
      <c r="C688" s="16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4"/>
      <c r="Q688" s="25"/>
    </row>
    <row r="689" spans="1:17" x14ac:dyDescent="0.15">
      <c r="A689" s="1"/>
      <c r="B689" s="16"/>
      <c r="C689" s="16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4"/>
      <c r="Q689" s="25"/>
    </row>
    <row r="690" spans="1:17" x14ac:dyDescent="0.15">
      <c r="A690" s="1"/>
      <c r="B690" s="16"/>
      <c r="C690" s="16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4"/>
      <c r="Q690" s="25"/>
    </row>
    <row r="691" spans="1:17" x14ac:dyDescent="0.15">
      <c r="A691" s="1"/>
      <c r="B691" s="16"/>
      <c r="C691" s="16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4"/>
      <c r="Q691" s="25"/>
    </row>
    <row r="692" spans="1:17" x14ac:dyDescent="0.15">
      <c r="A692" s="1"/>
      <c r="B692" s="16"/>
      <c r="C692" s="16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4"/>
      <c r="Q692" s="25"/>
    </row>
    <row r="693" spans="1:17" x14ac:dyDescent="0.15">
      <c r="A693" s="1"/>
      <c r="B693" s="16"/>
      <c r="C693" s="16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4"/>
      <c r="Q693" s="25"/>
    </row>
    <row r="694" spans="1:17" x14ac:dyDescent="0.15">
      <c r="A694" s="1"/>
      <c r="B694" s="16"/>
      <c r="C694" s="16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4"/>
      <c r="Q694" s="25"/>
    </row>
    <row r="695" spans="1:17" x14ac:dyDescent="0.15">
      <c r="A695" s="1"/>
      <c r="B695" s="16"/>
      <c r="C695" s="16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4"/>
      <c r="Q695" s="25"/>
    </row>
    <row r="696" spans="1:17" x14ac:dyDescent="0.15">
      <c r="A696" s="1"/>
      <c r="B696" s="16"/>
      <c r="C696" s="16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4"/>
      <c r="Q696" s="25"/>
    </row>
    <row r="697" spans="1:17" x14ac:dyDescent="0.15">
      <c r="A697" s="1"/>
      <c r="B697" s="16"/>
      <c r="C697" s="16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4"/>
      <c r="Q697" s="25"/>
    </row>
    <row r="698" spans="1:17" x14ac:dyDescent="0.15">
      <c r="A698" s="1"/>
      <c r="B698" s="16"/>
      <c r="C698" s="16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4"/>
      <c r="Q698" s="25"/>
    </row>
    <row r="699" spans="1:17" x14ac:dyDescent="0.15">
      <c r="A699" s="1"/>
      <c r="B699" s="16"/>
      <c r="C699" s="16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4"/>
      <c r="Q699" s="25"/>
    </row>
    <row r="700" spans="1:17" x14ac:dyDescent="0.15">
      <c r="A700" s="1"/>
      <c r="B700" s="16"/>
      <c r="C700" s="16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4"/>
      <c r="Q700" s="25"/>
    </row>
    <row r="701" spans="1:17" x14ac:dyDescent="0.15">
      <c r="A701" s="1"/>
      <c r="B701" s="16"/>
      <c r="C701" s="16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4"/>
      <c r="Q701" s="25"/>
    </row>
    <row r="702" spans="1:17" x14ac:dyDescent="0.15">
      <c r="A702" s="1"/>
      <c r="B702" s="16"/>
      <c r="C702" s="16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4"/>
      <c r="Q702" s="25"/>
    </row>
    <row r="703" spans="1:17" x14ac:dyDescent="0.15">
      <c r="A703" s="1"/>
      <c r="B703" s="16"/>
      <c r="C703" s="16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4"/>
      <c r="Q703" s="25"/>
    </row>
    <row r="704" spans="1:17" x14ac:dyDescent="0.15">
      <c r="A704" s="1"/>
      <c r="B704" s="16"/>
      <c r="C704" s="16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4"/>
      <c r="Q704" s="25"/>
    </row>
    <row r="705" spans="1:17" x14ac:dyDescent="0.15">
      <c r="A705" s="1"/>
      <c r="B705" s="16"/>
      <c r="C705" s="16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4"/>
      <c r="Q705" s="25"/>
    </row>
    <row r="706" spans="1:17" x14ac:dyDescent="0.15">
      <c r="A706" s="1"/>
      <c r="B706" s="16"/>
      <c r="C706" s="16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4"/>
      <c r="Q706" s="25"/>
    </row>
    <row r="707" spans="1:17" x14ac:dyDescent="0.15">
      <c r="A707" s="1"/>
      <c r="B707" s="16"/>
      <c r="C707" s="16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4"/>
      <c r="Q707" s="25"/>
    </row>
    <row r="708" spans="1:17" x14ac:dyDescent="0.15">
      <c r="A708" s="1"/>
      <c r="B708" s="16"/>
      <c r="C708" s="16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4"/>
      <c r="Q708" s="25"/>
    </row>
    <row r="709" spans="1:17" x14ac:dyDescent="0.15">
      <c r="A709" s="1"/>
      <c r="B709" s="16"/>
      <c r="C709" s="16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4"/>
      <c r="Q709" s="25"/>
    </row>
    <row r="710" spans="1:17" x14ac:dyDescent="0.15">
      <c r="A710" s="1"/>
      <c r="B710" s="16"/>
      <c r="C710" s="16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4"/>
      <c r="Q710" s="25"/>
    </row>
    <row r="711" spans="1:17" x14ac:dyDescent="0.15">
      <c r="A711" s="1"/>
      <c r="B711" s="16"/>
      <c r="C711" s="16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4"/>
      <c r="Q711" s="25"/>
    </row>
    <row r="712" spans="1:17" x14ac:dyDescent="0.15">
      <c r="A712" s="1"/>
      <c r="B712" s="16"/>
      <c r="C712" s="16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4"/>
      <c r="Q712" s="25"/>
    </row>
    <row r="713" spans="1:17" x14ac:dyDescent="0.15">
      <c r="A713" s="1"/>
      <c r="B713" s="16"/>
      <c r="C713" s="16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4"/>
      <c r="Q713" s="25"/>
    </row>
    <row r="714" spans="1:17" x14ac:dyDescent="0.15">
      <c r="A714" s="1"/>
      <c r="B714" s="16"/>
      <c r="C714" s="16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4"/>
      <c r="Q714" s="25"/>
    </row>
    <row r="715" spans="1:17" x14ac:dyDescent="0.15">
      <c r="A715" s="1"/>
      <c r="B715" s="16"/>
      <c r="C715" s="16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4"/>
      <c r="Q715" s="25"/>
    </row>
    <row r="716" spans="1:17" x14ac:dyDescent="0.15">
      <c r="A716" s="1"/>
      <c r="B716" s="16"/>
      <c r="C716" s="16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4"/>
      <c r="Q716" s="25"/>
    </row>
    <row r="717" spans="1:17" x14ac:dyDescent="0.15">
      <c r="A717" s="1"/>
      <c r="B717" s="16"/>
      <c r="C717" s="16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4"/>
      <c r="Q717" s="25"/>
    </row>
    <row r="718" spans="1:17" x14ac:dyDescent="0.15">
      <c r="A718" s="1"/>
      <c r="B718" s="16"/>
      <c r="C718" s="16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4"/>
      <c r="Q718" s="25"/>
    </row>
    <row r="719" spans="1:17" x14ac:dyDescent="0.15">
      <c r="A719" s="1"/>
      <c r="B719" s="16"/>
      <c r="C719" s="16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4"/>
      <c r="Q719" s="25"/>
    </row>
    <row r="720" spans="1:17" x14ac:dyDescent="0.15">
      <c r="A720" s="1"/>
      <c r="B720" s="16"/>
      <c r="C720" s="16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4"/>
      <c r="Q720" s="25"/>
    </row>
    <row r="721" spans="1:17" x14ac:dyDescent="0.15">
      <c r="A721" s="1"/>
      <c r="B721" s="16"/>
      <c r="C721" s="16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4"/>
      <c r="Q721" s="25"/>
    </row>
    <row r="722" spans="1:17" x14ac:dyDescent="0.15">
      <c r="A722" s="1"/>
      <c r="B722" s="16"/>
      <c r="C722" s="16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4"/>
      <c r="Q722" s="25"/>
    </row>
    <row r="723" spans="1:17" x14ac:dyDescent="0.15">
      <c r="A723" s="1"/>
      <c r="B723" s="16"/>
      <c r="C723" s="16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4"/>
      <c r="Q723" s="25"/>
    </row>
    <row r="724" spans="1:17" x14ac:dyDescent="0.15">
      <c r="A724" s="1"/>
      <c r="B724" s="16"/>
      <c r="C724" s="16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4"/>
      <c r="Q724" s="25"/>
    </row>
    <row r="725" spans="1:17" x14ac:dyDescent="0.15">
      <c r="A725" s="1"/>
      <c r="B725" s="16"/>
      <c r="C725" s="16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4"/>
      <c r="Q725" s="25"/>
    </row>
    <row r="726" spans="1:17" x14ac:dyDescent="0.15">
      <c r="A726" s="1"/>
      <c r="B726" s="16"/>
      <c r="C726" s="16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4"/>
      <c r="Q726" s="25"/>
    </row>
    <row r="727" spans="1:17" x14ac:dyDescent="0.15">
      <c r="A727" s="1"/>
      <c r="B727" s="16"/>
      <c r="C727" s="16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4"/>
      <c r="Q727" s="25"/>
    </row>
    <row r="728" spans="1:17" x14ac:dyDescent="0.15">
      <c r="A728" s="1"/>
      <c r="B728" s="16"/>
      <c r="C728" s="16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4"/>
      <c r="Q728" s="25"/>
    </row>
    <row r="729" spans="1:17" x14ac:dyDescent="0.15">
      <c r="A729" s="1"/>
      <c r="B729" s="16"/>
      <c r="C729" s="16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4"/>
      <c r="Q729" s="25"/>
    </row>
    <row r="730" spans="1:17" x14ac:dyDescent="0.15">
      <c r="A730" s="1"/>
      <c r="B730" s="16"/>
      <c r="C730" s="16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4"/>
      <c r="Q730" s="25"/>
    </row>
    <row r="731" spans="1:17" x14ac:dyDescent="0.15">
      <c r="A731" s="1"/>
      <c r="B731" s="16"/>
      <c r="C731" s="16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4"/>
      <c r="Q731" s="25"/>
    </row>
    <row r="732" spans="1:17" x14ac:dyDescent="0.15">
      <c r="A732" s="1"/>
      <c r="B732" s="16"/>
      <c r="C732" s="16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4"/>
      <c r="Q732" s="25"/>
    </row>
    <row r="733" spans="1:17" x14ac:dyDescent="0.15">
      <c r="A733" s="1"/>
      <c r="B733" s="16"/>
      <c r="C733" s="16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4"/>
      <c r="Q733" s="25"/>
    </row>
    <row r="734" spans="1:17" x14ac:dyDescent="0.15">
      <c r="A734" s="1"/>
      <c r="B734" s="16"/>
      <c r="C734" s="16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4"/>
      <c r="Q734" s="25"/>
    </row>
    <row r="735" spans="1:17" x14ac:dyDescent="0.15">
      <c r="A735" s="1"/>
      <c r="B735" s="16"/>
      <c r="C735" s="16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4"/>
      <c r="Q735" s="25"/>
    </row>
    <row r="736" spans="1:17" x14ac:dyDescent="0.15">
      <c r="A736" s="1"/>
      <c r="B736" s="16"/>
      <c r="C736" s="16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4"/>
      <c r="Q736" s="25"/>
    </row>
    <row r="737" spans="1:17" x14ac:dyDescent="0.15">
      <c r="A737" s="1"/>
      <c r="B737" s="16"/>
      <c r="C737" s="16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4"/>
      <c r="Q737" s="25"/>
    </row>
    <row r="738" spans="1:17" x14ac:dyDescent="0.15">
      <c r="A738" s="1"/>
      <c r="B738" s="16"/>
      <c r="C738" s="16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4"/>
      <c r="Q738" s="25"/>
    </row>
    <row r="739" spans="1:17" x14ac:dyDescent="0.15">
      <c r="A739" s="1"/>
      <c r="B739" s="16"/>
      <c r="C739" s="16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4"/>
      <c r="Q739" s="25"/>
    </row>
    <row r="740" spans="1:17" x14ac:dyDescent="0.15">
      <c r="A740" s="1"/>
      <c r="B740" s="16"/>
      <c r="C740" s="16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4"/>
      <c r="Q740" s="25"/>
    </row>
    <row r="741" spans="1:17" x14ac:dyDescent="0.15">
      <c r="A741" s="1"/>
      <c r="B741" s="16"/>
      <c r="C741" s="16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4"/>
      <c r="Q741" s="25"/>
    </row>
    <row r="742" spans="1:17" x14ac:dyDescent="0.15">
      <c r="A742" s="1"/>
      <c r="B742" s="16"/>
      <c r="C742" s="16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4"/>
      <c r="Q742" s="25"/>
    </row>
    <row r="743" spans="1:17" x14ac:dyDescent="0.15">
      <c r="A743" s="1"/>
      <c r="B743" s="16"/>
      <c r="C743" s="16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4"/>
      <c r="Q743" s="25"/>
    </row>
    <row r="744" spans="1:17" x14ac:dyDescent="0.15">
      <c r="A744" s="1"/>
      <c r="B744" s="16"/>
      <c r="C744" s="16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4"/>
      <c r="Q744" s="25"/>
    </row>
    <row r="745" spans="1:17" x14ac:dyDescent="0.15">
      <c r="A745" s="1"/>
      <c r="B745" s="16"/>
      <c r="C745" s="16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4"/>
      <c r="Q745" s="25"/>
    </row>
    <row r="746" spans="1:17" x14ac:dyDescent="0.15">
      <c r="A746" s="1"/>
      <c r="B746" s="16"/>
      <c r="C746" s="16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4"/>
      <c r="Q746" s="25"/>
    </row>
    <row r="747" spans="1:17" x14ac:dyDescent="0.15">
      <c r="A747" s="1"/>
      <c r="B747" s="16"/>
      <c r="C747" s="16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4"/>
      <c r="Q747" s="25"/>
    </row>
    <row r="748" spans="1:17" x14ac:dyDescent="0.15">
      <c r="A748" s="1"/>
      <c r="B748" s="16"/>
      <c r="C748" s="16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4"/>
      <c r="Q748" s="25"/>
    </row>
    <row r="749" spans="1:17" x14ac:dyDescent="0.15">
      <c r="A749" s="1"/>
      <c r="B749" s="16"/>
      <c r="C749" s="16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4"/>
      <c r="Q749" s="25"/>
    </row>
    <row r="750" spans="1:17" x14ac:dyDescent="0.15">
      <c r="A750" s="1"/>
      <c r="B750" s="16"/>
      <c r="C750" s="16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4"/>
      <c r="Q750" s="25"/>
    </row>
    <row r="751" spans="1:17" x14ac:dyDescent="0.15">
      <c r="A751" s="1"/>
      <c r="B751" s="16"/>
      <c r="C751" s="16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4"/>
      <c r="Q751" s="25"/>
    </row>
    <row r="752" spans="1:17" x14ac:dyDescent="0.15">
      <c r="A752" s="1"/>
      <c r="B752" s="16"/>
      <c r="C752" s="16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4"/>
      <c r="Q752" s="25"/>
    </row>
    <row r="753" spans="1:17" x14ac:dyDescent="0.15">
      <c r="A753" s="1"/>
      <c r="B753" s="16"/>
      <c r="C753" s="16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4"/>
      <c r="Q753" s="25"/>
    </row>
    <row r="754" spans="1:17" x14ac:dyDescent="0.15">
      <c r="A754" s="1"/>
      <c r="B754" s="16"/>
      <c r="C754" s="16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4"/>
      <c r="Q754" s="25"/>
    </row>
    <row r="755" spans="1:17" x14ac:dyDescent="0.15">
      <c r="A755" s="1"/>
      <c r="B755" s="16"/>
      <c r="C755" s="16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4"/>
      <c r="Q755" s="25"/>
    </row>
    <row r="756" spans="1:17" x14ac:dyDescent="0.15">
      <c r="A756" s="1"/>
      <c r="B756" s="16"/>
      <c r="C756" s="16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4"/>
      <c r="Q756" s="25"/>
    </row>
    <row r="757" spans="1:17" x14ac:dyDescent="0.15">
      <c r="A757" s="1"/>
      <c r="B757" s="16"/>
      <c r="C757" s="16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4"/>
      <c r="Q757" s="25"/>
    </row>
    <row r="758" spans="1:17" x14ac:dyDescent="0.15">
      <c r="A758" s="1"/>
      <c r="B758" s="16"/>
      <c r="C758" s="16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4"/>
      <c r="Q758" s="25"/>
    </row>
    <row r="759" spans="1:17" x14ac:dyDescent="0.15">
      <c r="A759" s="1"/>
      <c r="B759" s="16"/>
      <c r="C759" s="16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4"/>
      <c r="Q759" s="25"/>
    </row>
    <row r="760" spans="1:17" x14ac:dyDescent="0.15">
      <c r="A760" s="1"/>
      <c r="B760" s="16"/>
      <c r="C760" s="16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4"/>
      <c r="Q760" s="25"/>
    </row>
    <row r="761" spans="1:17" x14ac:dyDescent="0.15">
      <c r="A761" s="1"/>
      <c r="B761" s="16"/>
      <c r="C761" s="16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4"/>
      <c r="Q761" s="25"/>
    </row>
    <row r="762" spans="1:17" x14ac:dyDescent="0.15">
      <c r="A762" s="1"/>
      <c r="B762" s="16"/>
      <c r="C762" s="16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4"/>
      <c r="Q762" s="25"/>
    </row>
    <row r="763" spans="1:17" x14ac:dyDescent="0.15">
      <c r="A763" s="1"/>
      <c r="B763" s="16"/>
      <c r="C763" s="16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4"/>
      <c r="Q763" s="25"/>
    </row>
    <row r="764" spans="1:17" x14ac:dyDescent="0.15">
      <c r="A764" s="1"/>
      <c r="B764" s="16"/>
      <c r="C764" s="16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4"/>
      <c r="Q764" s="25"/>
    </row>
    <row r="765" spans="1:17" x14ac:dyDescent="0.15">
      <c r="A765" s="1"/>
      <c r="B765" s="16"/>
      <c r="C765" s="16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4"/>
      <c r="Q765" s="25"/>
    </row>
    <row r="766" spans="1:17" x14ac:dyDescent="0.15">
      <c r="A766" s="1"/>
      <c r="B766" s="16"/>
      <c r="C766" s="16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4"/>
      <c r="Q766" s="25"/>
    </row>
    <row r="767" spans="1:17" x14ac:dyDescent="0.15">
      <c r="A767" s="1"/>
      <c r="B767" s="16"/>
      <c r="C767" s="16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4"/>
      <c r="Q767" s="25"/>
    </row>
    <row r="768" spans="1:17" x14ac:dyDescent="0.15">
      <c r="A768" s="1"/>
      <c r="B768" s="16"/>
      <c r="C768" s="16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4"/>
      <c r="Q768" s="25"/>
    </row>
    <row r="769" spans="1:17" x14ac:dyDescent="0.15">
      <c r="A769" s="1"/>
      <c r="B769" s="16"/>
      <c r="C769" s="16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4"/>
      <c r="Q769" s="25"/>
    </row>
    <row r="770" spans="1:17" x14ac:dyDescent="0.15">
      <c r="A770" s="1"/>
      <c r="B770" s="16"/>
      <c r="C770" s="16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4"/>
      <c r="Q770" s="25"/>
    </row>
    <row r="771" spans="1:17" x14ac:dyDescent="0.15">
      <c r="A771" s="1"/>
      <c r="B771" s="16"/>
      <c r="C771" s="16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4"/>
      <c r="Q771" s="25"/>
    </row>
    <row r="772" spans="1:17" x14ac:dyDescent="0.15">
      <c r="A772" s="1"/>
      <c r="B772" s="16"/>
      <c r="C772" s="16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4"/>
      <c r="Q772" s="25"/>
    </row>
    <row r="773" spans="1:17" x14ac:dyDescent="0.15">
      <c r="A773" s="1"/>
      <c r="B773" s="16"/>
      <c r="C773" s="16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4"/>
      <c r="Q773" s="25"/>
    </row>
    <row r="774" spans="1:17" x14ac:dyDescent="0.15">
      <c r="A774" s="1"/>
      <c r="B774" s="16"/>
      <c r="C774" s="16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4"/>
      <c r="Q774" s="25"/>
    </row>
    <row r="775" spans="1:17" x14ac:dyDescent="0.15">
      <c r="A775" s="1"/>
      <c r="B775" s="16"/>
      <c r="C775" s="16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4"/>
      <c r="Q775" s="25"/>
    </row>
    <row r="776" spans="1:17" x14ac:dyDescent="0.15">
      <c r="A776" s="1"/>
      <c r="B776" s="16"/>
      <c r="C776" s="16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4"/>
      <c r="Q776" s="25"/>
    </row>
    <row r="777" spans="1:17" x14ac:dyDescent="0.15">
      <c r="A777" s="1"/>
      <c r="B777" s="16"/>
      <c r="C777" s="16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4"/>
      <c r="Q777" s="25"/>
    </row>
    <row r="778" spans="1:17" x14ac:dyDescent="0.15">
      <c r="A778" s="1"/>
      <c r="B778" s="16"/>
      <c r="C778" s="16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4"/>
      <c r="Q778" s="25"/>
    </row>
    <row r="779" spans="1:17" x14ac:dyDescent="0.15">
      <c r="A779" s="1"/>
      <c r="B779" s="16"/>
      <c r="C779" s="16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4"/>
      <c r="Q779" s="25"/>
    </row>
    <row r="780" spans="1:17" x14ac:dyDescent="0.15">
      <c r="A780" s="1"/>
      <c r="B780" s="16"/>
      <c r="C780" s="16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4"/>
      <c r="Q780" s="25"/>
    </row>
    <row r="781" spans="1:17" x14ac:dyDescent="0.15">
      <c r="A781" s="1"/>
      <c r="B781" s="16"/>
      <c r="C781" s="16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4"/>
      <c r="Q781" s="25"/>
    </row>
    <row r="782" spans="1:17" x14ac:dyDescent="0.15">
      <c r="A782" s="1"/>
      <c r="B782" s="16"/>
      <c r="C782" s="16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4"/>
      <c r="Q782" s="25"/>
    </row>
    <row r="783" spans="1:17" x14ac:dyDescent="0.15">
      <c r="A783" s="1"/>
      <c r="B783" s="16"/>
      <c r="C783" s="16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4"/>
      <c r="Q783" s="25"/>
    </row>
    <row r="784" spans="1:17" x14ac:dyDescent="0.15">
      <c r="A784" s="1"/>
      <c r="B784" s="16"/>
      <c r="C784" s="16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4"/>
      <c r="Q784" s="25"/>
    </row>
    <row r="785" spans="1:17" x14ac:dyDescent="0.15">
      <c r="A785" s="1"/>
      <c r="B785" s="16"/>
      <c r="C785" s="16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4"/>
      <c r="Q785" s="25"/>
    </row>
    <row r="786" spans="1:17" x14ac:dyDescent="0.15">
      <c r="A786" s="1"/>
      <c r="B786" s="16"/>
      <c r="C786" s="16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4"/>
      <c r="Q786" s="25"/>
    </row>
    <row r="787" spans="1:17" x14ac:dyDescent="0.15">
      <c r="A787" s="1"/>
      <c r="B787" s="16"/>
      <c r="C787" s="16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4"/>
      <c r="Q787" s="25"/>
    </row>
    <row r="788" spans="1:17" x14ac:dyDescent="0.15">
      <c r="A788" s="1"/>
      <c r="B788" s="16"/>
      <c r="C788" s="16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4"/>
      <c r="Q788" s="25"/>
    </row>
    <row r="789" spans="1:17" x14ac:dyDescent="0.15">
      <c r="A789" s="1"/>
      <c r="B789" s="16"/>
      <c r="C789" s="16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4"/>
      <c r="Q789" s="25"/>
    </row>
    <row r="790" spans="1:17" x14ac:dyDescent="0.15">
      <c r="A790" s="1"/>
      <c r="B790" s="16"/>
      <c r="C790" s="16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4"/>
      <c r="Q790" s="25"/>
    </row>
    <row r="791" spans="1:17" x14ac:dyDescent="0.15">
      <c r="A791" s="1"/>
      <c r="B791" s="16"/>
      <c r="C791" s="16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4"/>
      <c r="Q791" s="25"/>
    </row>
    <row r="792" spans="1:17" x14ac:dyDescent="0.15">
      <c r="A792" s="1"/>
      <c r="B792" s="16"/>
      <c r="C792" s="16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4"/>
      <c r="Q792" s="25"/>
    </row>
    <row r="793" spans="1:17" x14ac:dyDescent="0.15">
      <c r="A793" s="1"/>
      <c r="B793" s="16"/>
      <c r="C793" s="16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4"/>
      <c r="Q793" s="25"/>
    </row>
    <row r="794" spans="1:17" x14ac:dyDescent="0.15">
      <c r="A794" s="1"/>
      <c r="B794" s="16"/>
      <c r="C794" s="16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4"/>
      <c r="Q794" s="25"/>
    </row>
    <row r="795" spans="1:17" x14ac:dyDescent="0.15">
      <c r="A795" s="1"/>
      <c r="B795" s="16"/>
      <c r="C795" s="16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4"/>
      <c r="Q795" s="25"/>
    </row>
    <row r="796" spans="1:17" x14ac:dyDescent="0.15">
      <c r="A796" s="1"/>
      <c r="B796" s="16"/>
      <c r="C796" s="16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4"/>
      <c r="Q796" s="25"/>
    </row>
    <row r="797" spans="1:17" x14ac:dyDescent="0.15">
      <c r="A797" s="1"/>
      <c r="B797" s="16"/>
      <c r="C797" s="16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4"/>
      <c r="Q797" s="25"/>
    </row>
    <row r="798" spans="1:17" x14ac:dyDescent="0.15">
      <c r="A798" s="1"/>
      <c r="B798" s="16"/>
      <c r="C798" s="16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4"/>
      <c r="Q798" s="25"/>
    </row>
    <row r="799" spans="1:17" x14ac:dyDescent="0.15">
      <c r="A799" s="1"/>
      <c r="B799" s="16"/>
      <c r="C799" s="16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4"/>
      <c r="Q799" s="25"/>
    </row>
    <row r="800" spans="1:17" x14ac:dyDescent="0.15">
      <c r="A800" s="1"/>
      <c r="B800" s="16"/>
      <c r="C800" s="16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4"/>
      <c r="Q800" s="25"/>
    </row>
    <row r="801" spans="1:17" x14ac:dyDescent="0.15">
      <c r="A801" s="1"/>
      <c r="B801" s="16"/>
      <c r="C801" s="16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4"/>
      <c r="Q801" s="25"/>
    </row>
    <row r="802" spans="1:17" x14ac:dyDescent="0.15">
      <c r="A802" s="1"/>
      <c r="B802" s="16"/>
      <c r="C802" s="16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4"/>
      <c r="Q802" s="25"/>
    </row>
    <row r="803" spans="1:17" x14ac:dyDescent="0.15">
      <c r="A803" s="1"/>
      <c r="B803" s="16"/>
      <c r="C803" s="16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4"/>
      <c r="Q803" s="25"/>
    </row>
    <row r="804" spans="1:17" x14ac:dyDescent="0.15">
      <c r="A804" s="1"/>
      <c r="B804" s="16"/>
      <c r="C804" s="16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4"/>
      <c r="Q804" s="25"/>
    </row>
    <row r="805" spans="1:17" x14ac:dyDescent="0.15">
      <c r="A805" s="1"/>
      <c r="B805" s="16"/>
      <c r="C805" s="16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4"/>
      <c r="Q805" s="25"/>
    </row>
    <row r="806" spans="1:17" x14ac:dyDescent="0.15">
      <c r="A806" s="1"/>
      <c r="B806" s="16"/>
      <c r="C806" s="16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4"/>
      <c r="Q806" s="25"/>
    </row>
    <row r="807" spans="1:17" x14ac:dyDescent="0.15">
      <c r="A807" s="1"/>
      <c r="B807" s="16"/>
      <c r="C807" s="16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4"/>
      <c r="Q807" s="25"/>
    </row>
    <row r="808" spans="1:17" x14ac:dyDescent="0.15">
      <c r="A808" s="1"/>
      <c r="B808" s="16"/>
      <c r="C808" s="16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4"/>
      <c r="Q808" s="25"/>
    </row>
    <row r="809" spans="1:17" x14ac:dyDescent="0.15">
      <c r="A809" s="1"/>
      <c r="B809" s="16"/>
      <c r="C809" s="16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4"/>
      <c r="Q809" s="25"/>
    </row>
    <row r="810" spans="1:17" x14ac:dyDescent="0.15">
      <c r="A810" s="1"/>
      <c r="B810" s="16"/>
      <c r="C810" s="16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4"/>
      <c r="Q810" s="25"/>
    </row>
    <row r="811" spans="1:17" x14ac:dyDescent="0.15">
      <c r="A811" s="1"/>
      <c r="B811" s="16"/>
      <c r="C811" s="16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4"/>
      <c r="Q811" s="25"/>
    </row>
    <row r="812" spans="1:17" x14ac:dyDescent="0.15">
      <c r="A812" s="1"/>
      <c r="B812" s="16"/>
      <c r="C812" s="16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4"/>
      <c r="Q812" s="25"/>
    </row>
    <row r="813" spans="1:17" x14ac:dyDescent="0.15">
      <c r="A813" s="1"/>
      <c r="B813" s="16"/>
      <c r="C813" s="16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4"/>
      <c r="Q813" s="25"/>
    </row>
    <row r="814" spans="1:17" x14ac:dyDescent="0.15">
      <c r="A814" s="1"/>
      <c r="B814" s="16"/>
      <c r="C814" s="16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4"/>
      <c r="Q814" s="25"/>
    </row>
    <row r="815" spans="1:17" x14ac:dyDescent="0.15">
      <c r="A815" s="1"/>
      <c r="B815" s="16"/>
      <c r="C815" s="16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4"/>
      <c r="Q815" s="25"/>
    </row>
    <row r="816" spans="1:17" x14ac:dyDescent="0.15">
      <c r="A816" s="1"/>
      <c r="B816" s="16"/>
      <c r="C816" s="16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4"/>
      <c r="Q816" s="25"/>
    </row>
    <row r="817" spans="1:17" x14ac:dyDescent="0.15">
      <c r="A817" s="1"/>
      <c r="B817" s="16"/>
      <c r="C817" s="16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4"/>
      <c r="Q817" s="25"/>
    </row>
    <row r="818" spans="1:17" x14ac:dyDescent="0.15">
      <c r="A818" s="1"/>
      <c r="B818" s="16"/>
      <c r="C818" s="16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4"/>
      <c r="Q818" s="25"/>
    </row>
    <row r="819" spans="1:17" x14ac:dyDescent="0.15">
      <c r="A819" s="1"/>
      <c r="B819" s="16"/>
      <c r="C819" s="16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4"/>
      <c r="Q819" s="25"/>
    </row>
    <row r="820" spans="1:17" x14ac:dyDescent="0.15">
      <c r="A820" s="1"/>
      <c r="B820" s="16"/>
      <c r="C820" s="16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4"/>
      <c r="Q820" s="25"/>
    </row>
    <row r="821" spans="1:17" x14ac:dyDescent="0.15">
      <c r="A821" s="1"/>
      <c r="B821" s="16"/>
      <c r="C821" s="16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4"/>
      <c r="Q821" s="25"/>
    </row>
    <row r="822" spans="1:17" x14ac:dyDescent="0.15">
      <c r="A822" s="1"/>
      <c r="B822" s="16"/>
      <c r="C822" s="16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4"/>
      <c r="Q822" s="25"/>
    </row>
    <row r="823" spans="1:17" x14ac:dyDescent="0.15">
      <c r="A823" s="1"/>
      <c r="B823" s="16"/>
      <c r="C823" s="16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4"/>
      <c r="Q823" s="25"/>
    </row>
    <row r="824" spans="1:17" x14ac:dyDescent="0.15">
      <c r="A824" s="1"/>
      <c r="B824" s="16"/>
      <c r="C824" s="16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4"/>
      <c r="Q824" s="25"/>
    </row>
    <row r="825" spans="1:17" x14ac:dyDescent="0.15">
      <c r="A825" s="1"/>
      <c r="B825" s="16"/>
      <c r="C825" s="16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4"/>
      <c r="Q825" s="25"/>
    </row>
    <row r="826" spans="1:17" x14ac:dyDescent="0.15">
      <c r="A826" s="1"/>
      <c r="B826" s="16"/>
      <c r="C826" s="16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4"/>
      <c r="Q826" s="25"/>
    </row>
    <row r="827" spans="1:17" x14ac:dyDescent="0.15">
      <c r="A827" s="1"/>
      <c r="B827" s="16"/>
      <c r="C827" s="16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4"/>
      <c r="Q827" s="25"/>
    </row>
    <row r="828" spans="1:17" x14ac:dyDescent="0.15">
      <c r="A828" s="1"/>
      <c r="B828" s="16"/>
      <c r="C828" s="16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4"/>
      <c r="Q828" s="25"/>
    </row>
    <row r="829" spans="1:17" x14ac:dyDescent="0.15">
      <c r="A829" s="1"/>
      <c r="B829" s="16"/>
      <c r="C829" s="16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4"/>
      <c r="Q829" s="25"/>
    </row>
    <row r="830" spans="1:17" x14ac:dyDescent="0.15">
      <c r="A830" s="1"/>
      <c r="B830" s="16"/>
      <c r="C830" s="16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4"/>
      <c r="Q830" s="25"/>
    </row>
    <row r="831" spans="1:17" x14ac:dyDescent="0.15">
      <c r="A831" s="1"/>
      <c r="B831" s="16"/>
      <c r="C831" s="16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4"/>
      <c r="Q831" s="25"/>
    </row>
    <row r="832" spans="1:17" x14ac:dyDescent="0.15">
      <c r="A832" s="1"/>
      <c r="B832" s="16"/>
      <c r="C832" s="16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4"/>
      <c r="Q832" s="25"/>
    </row>
    <row r="833" spans="1:17" x14ac:dyDescent="0.15">
      <c r="A833" s="1"/>
      <c r="B833" s="16"/>
      <c r="C833" s="16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4"/>
      <c r="Q833" s="25"/>
    </row>
    <row r="834" spans="1:17" x14ac:dyDescent="0.15">
      <c r="A834" s="1"/>
      <c r="B834" s="16"/>
      <c r="C834" s="16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4"/>
      <c r="Q834" s="25"/>
    </row>
    <row r="835" spans="1:17" x14ac:dyDescent="0.15">
      <c r="A835" s="1"/>
      <c r="B835" s="16"/>
      <c r="C835" s="16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4"/>
      <c r="Q835" s="25"/>
    </row>
    <row r="836" spans="1:17" x14ac:dyDescent="0.15">
      <c r="A836" s="1"/>
      <c r="B836" s="16"/>
      <c r="C836" s="16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4"/>
      <c r="Q836" s="25"/>
    </row>
    <row r="837" spans="1:17" x14ac:dyDescent="0.15">
      <c r="A837" s="1"/>
      <c r="B837" s="16"/>
      <c r="C837" s="16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4"/>
      <c r="Q837" s="25"/>
    </row>
    <row r="838" spans="1:17" x14ac:dyDescent="0.15">
      <c r="A838" s="1"/>
      <c r="B838" s="16"/>
      <c r="C838" s="16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4"/>
      <c r="Q838" s="25"/>
    </row>
    <row r="839" spans="1:17" x14ac:dyDescent="0.15">
      <c r="A839" s="1"/>
      <c r="B839" s="16"/>
      <c r="C839" s="16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4"/>
      <c r="Q839" s="25"/>
    </row>
    <row r="840" spans="1:17" x14ac:dyDescent="0.15">
      <c r="A840" s="1"/>
      <c r="B840" s="16"/>
      <c r="C840" s="16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4"/>
      <c r="Q840" s="25"/>
    </row>
    <row r="841" spans="1:17" x14ac:dyDescent="0.15">
      <c r="A841" s="1"/>
      <c r="B841" s="16"/>
      <c r="C841" s="16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4"/>
      <c r="Q841" s="25"/>
    </row>
    <row r="842" spans="1:17" x14ac:dyDescent="0.15">
      <c r="A842" s="1"/>
      <c r="B842" s="16"/>
      <c r="C842" s="16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4"/>
      <c r="Q842" s="25"/>
    </row>
    <row r="843" spans="1:17" x14ac:dyDescent="0.15">
      <c r="A843" s="1"/>
      <c r="B843" s="16"/>
      <c r="C843" s="16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4"/>
      <c r="Q843" s="25"/>
    </row>
    <row r="844" spans="1:17" x14ac:dyDescent="0.15">
      <c r="A844" s="1"/>
      <c r="B844" s="16"/>
      <c r="C844" s="16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4"/>
      <c r="Q844" s="25"/>
    </row>
    <row r="845" spans="1:17" x14ac:dyDescent="0.15">
      <c r="A845" s="1"/>
      <c r="B845" s="16"/>
      <c r="C845" s="16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4"/>
      <c r="Q845" s="25"/>
    </row>
    <row r="846" spans="1:17" x14ac:dyDescent="0.15">
      <c r="A846" s="1"/>
      <c r="B846" s="16"/>
      <c r="C846" s="16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4"/>
      <c r="Q846" s="25"/>
    </row>
    <row r="847" spans="1:17" x14ac:dyDescent="0.15">
      <c r="A847" s="1"/>
      <c r="B847" s="16"/>
      <c r="C847" s="16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4"/>
      <c r="Q847" s="25"/>
    </row>
    <row r="848" spans="1:17" x14ac:dyDescent="0.15">
      <c r="A848" s="1"/>
      <c r="B848" s="16"/>
      <c r="C848" s="16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4"/>
      <c r="Q848" s="25"/>
    </row>
    <row r="849" spans="1:17" x14ac:dyDescent="0.15">
      <c r="A849" s="1"/>
      <c r="B849" s="16"/>
      <c r="C849" s="16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4"/>
      <c r="Q849" s="25"/>
    </row>
    <row r="850" spans="1:17" x14ac:dyDescent="0.15">
      <c r="A850" s="1"/>
      <c r="B850" s="16"/>
      <c r="C850" s="16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4"/>
      <c r="Q850" s="25"/>
    </row>
    <row r="851" spans="1:17" x14ac:dyDescent="0.15">
      <c r="A851" s="1"/>
      <c r="B851" s="16"/>
      <c r="C851" s="16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4"/>
      <c r="Q851" s="25"/>
    </row>
    <row r="852" spans="1:17" x14ac:dyDescent="0.15">
      <c r="A852" s="1"/>
      <c r="B852" s="16"/>
      <c r="C852" s="16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4"/>
      <c r="Q852" s="25"/>
    </row>
    <row r="853" spans="1:17" x14ac:dyDescent="0.15">
      <c r="A853" s="1"/>
      <c r="B853" s="16"/>
      <c r="C853" s="16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4"/>
      <c r="Q853" s="25"/>
    </row>
    <row r="854" spans="1:17" x14ac:dyDescent="0.15">
      <c r="A854" s="1"/>
      <c r="B854" s="16"/>
      <c r="C854" s="16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4"/>
      <c r="Q854" s="25"/>
    </row>
    <row r="855" spans="1:17" x14ac:dyDescent="0.15">
      <c r="A855" s="1"/>
      <c r="B855" s="16"/>
      <c r="C855" s="16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4"/>
      <c r="Q855" s="25"/>
    </row>
    <row r="856" spans="1:17" x14ac:dyDescent="0.15">
      <c r="A856" s="1"/>
      <c r="B856" s="16"/>
      <c r="C856" s="16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4"/>
      <c r="Q856" s="25"/>
    </row>
    <row r="857" spans="1:17" x14ac:dyDescent="0.15">
      <c r="A857" s="1"/>
      <c r="B857" s="16"/>
      <c r="C857" s="16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4"/>
      <c r="Q857" s="25"/>
    </row>
    <row r="858" spans="1:17" x14ac:dyDescent="0.15">
      <c r="A858" s="1"/>
      <c r="B858" s="16"/>
      <c r="C858" s="16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4"/>
      <c r="Q858" s="25"/>
    </row>
    <row r="859" spans="1:17" x14ac:dyDescent="0.15">
      <c r="A859" s="1"/>
      <c r="B859" s="16"/>
      <c r="C859" s="16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4"/>
      <c r="Q859" s="25"/>
    </row>
    <row r="860" spans="1:17" x14ac:dyDescent="0.15">
      <c r="A860" s="1"/>
      <c r="B860" s="16"/>
      <c r="C860" s="16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4"/>
      <c r="Q860" s="25"/>
    </row>
    <row r="861" spans="1:17" x14ac:dyDescent="0.15">
      <c r="A861" s="1"/>
      <c r="B861" s="16"/>
      <c r="C861" s="16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4"/>
      <c r="Q861" s="25"/>
    </row>
    <row r="862" spans="1:17" x14ac:dyDescent="0.15">
      <c r="A862" s="1"/>
      <c r="B862" s="16"/>
      <c r="C862" s="16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4"/>
      <c r="Q862" s="25"/>
    </row>
    <row r="863" spans="1:17" x14ac:dyDescent="0.15">
      <c r="A863" s="1"/>
      <c r="B863" s="16"/>
      <c r="C863" s="16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4"/>
      <c r="Q863" s="25"/>
    </row>
    <row r="864" spans="1:17" x14ac:dyDescent="0.15">
      <c r="A864" s="1"/>
      <c r="B864" s="16"/>
      <c r="C864" s="16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4"/>
      <c r="Q864" s="25"/>
    </row>
    <row r="865" spans="1:17" x14ac:dyDescent="0.15">
      <c r="A865" s="1"/>
      <c r="B865" s="16"/>
      <c r="C865" s="16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4"/>
      <c r="Q865" s="25"/>
    </row>
    <row r="866" spans="1:17" x14ac:dyDescent="0.15">
      <c r="A866" s="1"/>
      <c r="B866" s="16"/>
      <c r="C866" s="16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4"/>
      <c r="Q866" s="25"/>
    </row>
    <row r="867" spans="1:17" x14ac:dyDescent="0.15">
      <c r="A867" s="1"/>
      <c r="B867" s="16"/>
      <c r="C867" s="16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4"/>
      <c r="Q867" s="25"/>
    </row>
    <row r="868" spans="1:17" x14ac:dyDescent="0.15">
      <c r="A868" s="1"/>
      <c r="B868" s="16"/>
      <c r="C868" s="16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4"/>
      <c r="Q868" s="25"/>
    </row>
    <row r="869" spans="1:17" x14ac:dyDescent="0.15">
      <c r="A869" s="1"/>
      <c r="B869" s="16"/>
      <c r="C869" s="16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4"/>
      <c r="Q869" s="25"/>
    </row>
    <row r="870" spans="1:17" x14ac:dyDescent="0.15">
      <c r="A870" s="1"/>
      <c r="B870" s="16"/>
      <c r="C870" s="16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4"/>
      <c r="Q870" s="25"/>
    </row>
    <row r="871" spans="1:17" x14ac:dyDescent="0.15">
      <c r="A871" s="1"/>
      <c r="B871" s="16"/>
      <c r="C871" s="16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4"/>
      <c r="Q871" s="25"/>
    </row>
    <row r="872" spans="1:17" x14ac:dyDescent="0.15">
      <c r="A872" s="1"/>
      <c r="B872" s="16"/>
      <c r="C872" s="16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4"/>
      <c r="Q872" s="25"/>
    </row>
    <row r="873" spans="1:17" x14ac:dyDescent="0.15">
      <c r="A873" s="1"/>
      <c r="B873" s="16"/>
      <c r="C873" s="16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4"/>
      <c r="Q873" s="25"/>
    </row>
    <row r="874" spans="1:17" x14ac:dyDescent="0.15">
      <c r="A874" s="1"/>
      <c r="B874" s="16"/>
      <c r="C874" s="16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4"/>
      <c r="Q874" s="25"/>
    </row>
    <row r="875" spans="1:17" x14ac:dyDescent="0.15">
      <c r="A875" s="1"/>
      <c r="B875" s="16"/>
      <c r="C875" s="16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4"/>
      <c r="Q875" s="25"/>
    </row>
    <row r="876" spans="1:17" x14ac:dyDescent="0.15">
      <c r="A876" s="1"/>
      <c r="B876" s="16"/>
      <c r="C876" s="16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4"/>
      <c r="Q876" s="25"/>
    </row>
    <row r="877" spans="1:17" x14ac:dyDescent="0.15">
      <c r="A877" s="1"/>
      <c r="B877" s="16"/>
      <c r="C877" s="16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4"/>
      <c r="Q877" s="25"/>
    </row>
    <row r="878" spans="1:17" x14ac:dyDescent="0.15">
      <c r="A878" s="1"/>
      <c r="B878" s="16"/>
      <c r="C878" s="16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4"/>
      <c r="Q878" s="25"/>
    </row>
    <row r="879" spans="1:17" x14ac:dyDescent="0.15">
      <c r="A879" s="1"/>
      <c r="B879" s="16"/>
      <c r="C879" s="16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4"/>
      <c r="Q879" s="25"/>
    </row>
    <row r="880" spans="1:17" x14ac:dyDescent="0.15">
      <c r="A880" s="1"/>
      <c r="B880" s="16"/>
      <c r="C880" s="16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4"/>
      <c r="Q880" s="25"/>
    </row>
    <row r="881" spans="1:17" x14ac:dyDescent="0.15">
      <c r="A881" s="1"/>
      <c r="B881" s="16"/>
      <c r="C881" s="16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4"/>
      <c r="Q881" s="25"/>
    </row>
    <row r="882" spans="1:17" x14ac:dyDescent="0.15">
      <c r="A882" s="1"/>
      <c r="B882" s="16"/>
      <c r="C882" s="16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4"/>
      <c r="Q882" s="25"/>
    </row>
    <row r="883" spans="1:17" x14ac:dyDescent="0.15">
      <c r="A883" s="1"/>
      <c r="B883" s="16"/>
      <c r="C883" s="16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4"/>
      <c r="Q883" s="25"/>
    </row>
    <row r="884" spans="1:17" x14ac:dyDescent="0.15">
      <c r="A884" s="1"/>
      <c r="B884" s="16"/>
      <c r="C884" s="16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4"/>
      <c r="Q884" s="25"/>
    </row>
    <row r="885" spans="1:17" x14ac:dyDescent="0.15">
      <c r="A885" s="1"/>
      <c r="B885" s="16"/>
      <c r="C885" s="16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4"/>
      <c r="Q885" s="25"/>
    </row>
    <row r="886" spans="1:17" x14ac:dyDescent="0.15">
      <c r="A886" s="1"/>
      <c r="B886" s="16"/>
      <c r="C886" s="16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4"/>
      <c r="Q886" s="25"/>
    </row>
    <row r="887" spans="1:17" x14ac:dyDescent="0.15">
      <c r="A887" s="1"/>
      <c r="B887" s="16"/>
      <c r="C887" s="16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4"/>
      <c r="Q887" s="25"/>
    </row>
    <row r="888" spans="1:17" x14ac:dyDescent="0.15">
      <c r="A888" s="1"/>
      <c r="B888" s="16"/>
      <c r="C888" s="16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4"/>
      <c r="Q888" s="25"/>
    </row>
    <row r="889" spans="1:17" x14ac:dyDescent="0.15">
      <c r="A889" s="1"/>
      <c r="B889" s="16"/>
      <c r="C889" s="16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4"/>
      <c r="Q889" s="25"/>
    </row>
    <row r="890" spans="1:17" x14ac:dyDescent="0.15">
      <c r="A890" s="1"/>
      <c r="B890" s="16"/>
      <c r="C890" s="16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4"/>
      <c r="Q890" s="25"/>
    </row>
    <row r="891" spans="1:17" x14ac:dyDescent="0.15">
      <c r="A891" s="1"/>
      <c r="B891" s="16"/>
      <c r="C891" s="16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4"/>
      <c r="Q891" s="25"/>
    </row>
    <row r="892" spans="1:17" x14ac:dyDescent="0.15">
      <c r="A892" s="1"/>
      <c r="B892" s="16"/>
      <c r="C892" s="16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4"/>
      <c r="Q892" s="25"/>
    </row>
    <row r="893" spans="1:17" x14ac:dyDescent="0.15">
      <c r="A893" s="1"/>
      <c r="B893" s="16"/>
      <c r="C893" s="16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4"/>
      <c r="Q893" s="25"/>
    </row>
    <row r="894" spans="1:17" x14ac:dyDescent="0.15">
      <c r="A894" s="1"/>
      <c r="B894" s="16"/>
      <c r="C894" s="16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4"/>
      <c r="Q894" s="25"/>
    </row>
    <row r="895" spans="1:17" x14ac:dyDescent="0.15">
      <c r="A895" s="1"/>
      <c r="B895" s="16"/>
      <c r="C895" s="16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4"/>
      <c r="Q895" s="25"/>
    </row>
    <row r="896" spans="1:17" x14ac:dyDescent="0.15">
      <c r="A896" s="1"/>
      <c r="B896" s="16"/>
      <c r="C896" s="16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4"/>
      <c r="Q896" s="25"/>
    </row>
    <row r="897" spans="1:17" x14ac:dyDescent="0.15">
      <c r="A897" s="1"/>
      <c r="B897" s="16"/>
      <c r="C897" s="16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4"/>
      <c r="Q897" s="25"/>
    </row>
    <row r="898" spans="1:17" x14ac:dyDescent="0.15">
      <c r="A898" s="1"/>
      <c r="B898" s="16"/>
      <c r="C898" s="16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4"/>
      <c r="Q898" s="25"/>
    </row>
    <row r="899" spans="1:17" x14ac:dyDescent="0.15">
      <c r="A899" s="1"/>
      <c r="B899" s="16"/>
      <c r="C899" s="16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4"/>
      <c r="Q899" s="25"/>
    </row>
    <row r="900" spans="1:17" x14ac:dyDescent="0.15">
      <c r="A900" s="1"/>
      <c r="B900" s="16"/>
      <c r="C900" s="16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4"/>
      <c r="Q900" s="25"/>
    </row>
    <row r="901" spans="1:17" x14ac:dyDescent="0.15">
      <c r="A901" s="1"/>
      <c r="B901" s="16"/>
      <c r="C901" s="16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4"/>
      <c r="Q901" s="25"/>
    </row>
    <row r="902" spans="1:17" x14ac:dyDescent="0.15">
      <c r="A902" s="1"/>
      <c r="B902" s="16"/>
      <c r="C902" s="16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4"/>
      <c r="Q902" s="25"/>
    </row>
    <row r="903" spans="1:17" x14ac:dyDescent="0.15">
      <c r="A903" s="1"/>
      <c r="B903" s="16"/>
      <c r="C903" s="16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4"/>
      <c r="Q903" s="25"/>
    </row>
    <row r="904" spans="1:17" x14ac:dyDescent="0.15">
      <c r="A904" s="1"/>
      <c r="B904" s="16"/>
      <c r="C904" s="16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4"/>
      <c r="Q904" s="25"/>
    </row>
    <row r="905" spans="1:17" x14ac:dyDescent="0.15">
      <c r="A905" s="1"/>
      <c r="B905" s="16"/>
      <c r="C905" s="16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4"/>
      <c r="Q905" s="25"/>
    </row>
    <row r="906" spans="1:17" x14ac:dyDescent="0.15">
      <c r="A906" s="1"/>
      <c r="B906" s="16"/>
      <c r="C906" s="16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4"/>
      <c r="Q906" s="25"/>
    </row>
    <row r="907" spans="1:17" x14ac:dyDescent="0.15">
      <c r="A907" s="1"/>
      <c r="B907" s="16"/>
      <c r="C907" s="16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4"/>
      <c r="Q907" s="25"/>
    </row>
    <row r="908" spans="1:17" x14ac:dyDescent="0.15">
      <c r="A908" s="1"/>
      <c r="B908" s="16"/>
      <c r="C908" s="16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4"/>
      <c r="Q908" s="25"/>
    </row>
    <row r="909" spans="1:17" x14ac:dyDescent="0.15">
      <c r="A909" s="1"/>
      <c r="B909" s="16"/>
      <c r="C909" s="16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4"/>
      <c r="Q909" s="25"/>
    </row>
    <row r="910" spans="1:17" x14ac:dyDescent="0.15">
      <c r="A910" s="1"/>
      <c r="B910" s="16"/>
      <c r="C910" s="16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4"/>
      <c r="Q910" s="25"/>
    </row>
    <row r="911" spans="1:17" x14ac:dyDescent="0.15">
      <c r="A911" s="1"/>
      <c r="B911" s="16"/>
      <c r="C911" s="16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4"/>
      <c r="Q911" s="25"/>
    </row>
    <row r="912" spans="1:17" x14ac:dyDescent="0.15">
      <c r="A912" s="1"/>
      <c r="B912" s="16"/>
      <c r="C912" s="16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4"/>
      <c r="Q912" s="25"/>
    </row>
    <row r="913" spans="1:17" x14ac:dyDescent="0.15">
      <c r="A913" s="1"/>
      <c r="B913" s="16"/>
      <c r="C913" s="16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4"/>
      <c r="Q913" s="25"/>
    </row>
    <row r="914" spans="1:17" x14ac:dyDescent="0.15">
      <c r="A914" s="1"/>
      <c r="B914" s="16"/>
      <c r="C914" s="16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4"/>
      <c r="Q914" s="25"/>
    </row>
    <row r="915" spans="1:17" x14ac:dyDescent="0.15">
      <c r="A915" s="1"/>
      <c r="B915" s="16"/>
      <c r="C915" s="16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4"/>
      <c r="Q915" s="25"/>
    </row>
    <row r="916" spans="1:17" x14ac:dyDescent="0.15">
      <c r="A916" s="1"/>
      <c r="B916" s="16"/>
      <c r="C916" s="16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4"/>
      <c r="Q916" s="25"/>
    </row>
    <row r="917" spans="1:17" x14ac:dyDescent="0.15">
      <c r="A917" s="1"/>
      <c r="B917" s="16"/>
      <c r="C917" s="16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4"/>
      <c r="Q917" s="25"/>
    </row>
    <row r="918" spans="1:17" x14ac:dyDescent="0.15">
      <c r="A918" s="1"/>
      <c r="B918" s="16"/>
      <c r="C918" s="16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4"/>
      <c r="Q918" s="25"/>
    </row>
    <row r="919" spans="1:17" x14ac:dyDescent="0.15">
      <c r="A919" s="1"/>
      <c r="B919" s="16"/>
      <c r="C919" s="16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4"/>
      <c r="Q919" s="25"/>
    </row>
    <row r="920" spans="1:17" x14ac:dyDescent="0.15">
      <c r="A920" s="1"/>
      <c r="B920" s="16"/>
      <c r="C920" s="16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4"/>
      <c r="Q920" s="25"/>
    </row>
    <row r="921" spans="1:17" x14ac:dyDescent="0.15">
      <c r="A921" s="1"/>
      <c r="B921" s="16"/>
      <c r="C921" s="16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4"/>
      <c r="Q921" s="25"/>
    </row>
    <row r="922" spans="1:17" x14ac:dyDescent="0.15">
      <c r="A922" s="1"/>
      <c r="B922" s="16"/>
      <c r="C922" s="16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4"/>
      <c r="Q922" s="25"/>
    </row>
    <row r="923" spans="1:17" x14ac:dyDescent="0.15">
      <c r="A923" s="1"/>
      <c r="B923" s="16"/>
      <c r="C923" s="16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4"/>
      <c r="Q923" s="25"/>
    </row>
    <row r="924" spans="1:17" x14ac:dyDescent="0.15">
      <c r="A924" s="1"/>
      <c r="B924" s="16"/>
      <c r="C924" s="16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4"/>
      <c r="Q924" s="25"/>
    </row>
    <row r="925" spans="1:17" x14ac:dyDescent="0.15">
      <c r="A925" s="1"/>
      <c r="B925" s="16"/>
      <c r="C925" s="16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4"/>
      <c r="Q925" s="25"/>
    </row>
    <row r="926" spans="1:17" x14ac:dyDescent="0.15">
      <c r="A926" s="1"/>
      <c r="B926" s="16"/>
      <c r="C926" s="16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4"/>
      <c r="Q926" s="25"/>
    </row>
    <row r="927" spans="1:17" x14ac:dyDescent="0.15">
      <c r="A927" s="1"/>
      <c r="B927" s="16"/>
      <c r="C927" s="16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4"/>
      <c r="Q927" s="25"/>
    </row>
    <row r="928" spans="1:17" x14ac:dyDescent="0.15">
      <c r="A928" s="1"/>
      <c r="B928" s="16"/>
      <c r="C928" s="16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4"/>
      <c r="Q928" s="25"/>
    </row>
    <row r="929" spans="1:17" x14ac:dyDescent="0.15">
      <c r="A929" s="1"/>
      <c r="B929" s="16"/>
      <c r="C929" s="16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4"/>
      <c r="Q929" s="25"/>
    </row>
    <row r="930" spans="1:17" x14ac:dyDescent="0.15">
      <c r="A930" s="1"/>
      <c r="B930" s="16"/>
      <c r="C930" s="16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4"/>
      <c r="Q930" s="25"/>
    </row>
    <row r="931" spans="1:17" x14ac:dyDescent="0.15">
      <c r="A931" s="1"/>
      <c r="B931" s="16"/>
      <c r="C931" s="16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4"/>
      <c r="Q931" s="25"/>
    </row>
    <row r="932" spans="1:17" x14ac:dyDescent="0.15">
      <c r="A932" s="1"/>
      <c r="B932" s="16"/>
      <c r="C932" s="16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4"/>
      <c r="Q932" s="25"/>
    </row>
    <row r="933" spans="1:17" x14ac:dyDescent="0.15">
      <c r="A933" s="1"/>
      <c r="B933" s="16"/>
      <c r="C933" s="16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4"/>
      <c r="Q933" s="25"/>
    </row>
    <row r="934" spans="1:17" x14ac:dyDescent="0.15">
      <c r="A934" s="1"/>
      <c r="B934" s="16"/>
      <c r="C934" s="16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4"/>
      <c r="Q934" s="25"/>
    </row>
    <row r="935" spans="1:17" x14ac:dyDescent="0.15">
      <c r="A935" s="1"/>
      <c r="B935" s="16"/>
      <c r="C935" s="16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4"/>
      <c r="Q935" s="25"/>
    </row>
    <row r="936" spans="1:17" x14ac:dyDescent="0.15">
      <c r="A936" s="1"/>
      <c r="B936" s="16"/>
      <c r="C936" s="16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4"/>
      <c r="Q936" s="25"/>
    </row>
    <row r="937" spans="1:17" x14ac:dyDescent="0.15">
      <c r="A937" s="1"/>
      <c r="B937" s="16"/>
      <c r="C937" s="16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4"/>
      <c r="Q937" s="25"/>
    </row>
    <row r="938" spans="1:17" x14ac:dyDescent="0.15">
      <c r="A938" s="1"/>
      <c r="B938" s="16"/>
      <c r="C938" s="16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4"/>
      <c r="Q938" s="25"/>
    </row>
    <row r="939" spans="1:17" x14ac:dyDescent="0.15">
      <c r="A939" s="1"/>
      <c r="B939" s="16"/>
      <c r="C939" s="16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4"/>
      <c r="Q939" s="25"/>
    </row>
    <row r="940" spans="1:17" x14ac:dyDescent="0.15">
      <c r="A940" s="1"/>
      <c r="B940" s="16"/>
      <c r="C940" s="16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4"/>
      <c r="Q940" s="25"/>
    </row>
    <row r="941" spans="1:17" x14ac:dyDescent="0.15">
      <c r="A941" s="1"/>
      <c r="B941" s="16"/>
      <c r="C941" s="16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4"/>
      <c r="Q941" s="25"/>
    </row>
    <row r="942" spans="1:17" x14ac:dyDescent="0.15">
      <c r="A942" s="1"/>
      <c r="B942" s="16"/>
      <c r="C942" s="16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4"/>
      <c r="Q942" s="25"/>
    </row>
    <row r="943" spans="1:17" x14ac:dyDescent="0.15">
      <c r="A943" s="1"/>
      <c r="B943" s="16"/>
      <c r="C943" s="16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4"/>
      <c r="Q943" s="25"/>
    </row>
    <row r="944" spans="1:17" x14ac:dyDescent="0.15">
      <c r="A944" s="1"/>
      <c r="B944" s="16"/>
      <c r="C944" s="16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4"/>
      <c r="Q944" s="25"/>
    </row>
    <row r="945" spans="1:17" x14ac:dyDescent="0.15">
      <c r="A945" s="1"/>
      <c r="B945" s="16"/>
      <c r="C945" s="16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4"/>
      <c r="Q945" s="25"/>
    </row>
    <row r="946" spans="1:17" x14ac:dyDescent="0.15">
      <c r="A946" s="1"/>
      <c r="B946" s="16"/>
      <c r="C946" s="16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4"/>
      <c r="Q946" s="25"/>
    </row>
    <row r="947" spans="1:17" x14ac:dyDescent="0.15">
      <c r="A947" s="1"/>
      <c r="B947" s="16"/>
      <c r="C947" s="16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4"/>
      <c r="Q947" s="25"/>
    </row>
    <row r="948" spans="1:17" x14ac:dyDescent="0.15">
      <c r="A948" s="1"/>
      <c r="B948" s="16"/>
      <c r="C948" s="16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4"/>
      <c r="Q948" s="25"/>
    </row>
    <row r="949" spans="1:17" x14ac:dyDescent="0.15">
      <c r="A949" s="1"/>
      <c r="B949" s="16"/>
      <c r="C949" s="16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4"/>
      <c r="Q949" s="25"/>
    </row>
    <row r="950" spans="1:17" x14ac:dyDescent="0.15">
      <c r="A950" s="1"/>
      <c r="B950" s="16"/>
      <c r="C950" s="16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4"/>
      <c r="Q950" s="25"/>
    </row>
    <row r="951" spans="1:17" x14ac:dyDescent="0.15">
      <c r="A951" s="1"/>
      <c r="B951" s="16"/>
      <c r="C951" s="16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4"/>
      <c r="Q951" s="25"/>
    </row>
    <row r="952" spans="1:17" x14ac:dyDescent="0.15">
      <c r="A952" s="1"/>
      <c r="B952" s="16"/>
      <c r="C952" s="16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4"/>
      <c r="Q952" s="25"/>
    </row>
    <row r="953" spans="1:17" x14ac:dyDescent="0.15">
      <c r="A953" s="1"/>
      <c r="B953" s="16"/>
      <c r="C953" s="16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4"/>
      <c r="Q953" s="25"/>
    </row>
    <row r="954" spans="1:17" x14ac:dyDescent="0.15">
      <c r="A954" s="1"/>
      <c r="B954" s="16"/>
      <c r="C954" s="16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4"/>
      <c r="Q954" s="25"/>
    </row>
    <row r="955" spans="1:17" x14ac:dyDescent="0.15">
      <c r="A955" s="1"/>
      <c r="B955" s="16"/>
      <c r="C955" s="16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4"/>
      <c r="Q955" s="25"/>
    </row>
    <row r="956" spans="1:17" x14ac:dyDescent="0.15">
      <c r="A956" s="1"/>
      <c r="B956" s="16"/>
      <c r="C956" s="16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4"/>
      <c r="Q956" s="25"/>
    </row>
    <row r="957" spans="1:17" x14ac:dyDescent="0.15">
      <c r="A957" s="1"/>
      <c r="B957" s="16"/>
      <c r="C957" s="16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4"/>
      <c r="Q957" s="25"/>
    </row>
    <row r="958" spans="1:17" x14ac:dyDescent="0.15">
      <c r="A958" s="1"/>
      <c r="B958" s="16"/>
      <c r="C958" s="16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4"/>
      <c r="Q958" s="25"/>
    </row>
    <row r="959" spans="1:17" x14ac:dyDescent="0.15">
      <c r="A959" s="1"/>
      <c r="B959" s="16"/>
      <c r="C959" s="16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4"/>
      <c r="Q959" s="25"/>
    </row>
    <row r="960" spans="1:17" x14ac:dyDescent="0.15">
      <c r="A960" s="1"/>
      <c r="B960" s="16"/>
      <c r="C960" s="16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4"/>
      <c r="Q960" s="25"/>
    </row>
    <row r="961" spans="1:17" x14ac:dyDescent="0.15">
      <c r="A961" s="1"/>
      <c r="B961" s="16"/>
      <c r="C961" s="16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4"/>
      <c r="Q961" s="25"/>
    </row>
    <row r="962" spans="1:17" x14ac:dyDescent="0.15">
      <c r="A962" s="1"/>
      <c r="B962" s="16"/>
      <c r="C962" s="16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4"/>
      <c r="Q962" s="25"/>
    </row>
    <row r="963" spans="1:17" x14ac:dyDescent="0.15">
      <c r="A963" s="1"/>
      <c r="B963" s="16"/>
      <c r="C963" s="16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4"/>
      <c r="Q963" s="25"/>
    </row>
    <row r="964" spans="1:17" x14ac:dyDescent="0.15">
      <c r="A964" s="1"/>
      <c r="B964" s="16"/>
      <c r="C964" s="16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4"/>
      <c r="Q964" s="25"/>
    </row>
    <row r="965" spans="1:17" x14ac:dyDescent="0.15">
      <c r="A965" s="1"/>
      <c r="B965" s="16"/>
      <c r="C965" s="16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4"/>
      <c r="Q965" s="25"/>
    </row>
    <row r="966" spans="1:17" x14ac:dyDescent="0.15">
      <c r="A966" s="1"/>
      <c r="B966" s="16"/>
      <c r="C966" s="16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4"/>
      <c r="Q966" s="25"/>
    </row>
    <row r="967" spans="1:17" x14ac:dyDescent="0.15">
      <c r="A967" s="1"/>
      <c r="B967" s="16"/>
      <c r="C967" s="16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4"/>
      <c r="Q967" s="25"/>
    </row>
    <row r="968" spans="1:17" x14ac:dyDescent="0.15">
      <c r="A968" s="1"/>
      <c r="B968" s="16"/>
      <c r="C968" s="16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4"/>
      <c r="Q968" s="25"/>
    </row>
    <row r="969" spans="1:17" x14ac:dyDescent="0.15">
      <c r="A969" s="1"/>
      <c r="B969" s="16"/>
      <c r="C969" s="16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4"/>
      <c r="Q969" s="25"/>
    </row>
    <row r="970" spans="1:17" x14ac:dyDescent="0.15">
      <c r="A970" s="1"/>
      <c r="B970" s="16"/>
      <c r="C970" s="16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4"/>
      <c r="Q970" s="25"/>
    </row>
    <row r="971" spans="1:17" x14ac:dyDescent="0.15">
      <c r="A971" s="1"/>
      <c r="B971" s="16"/>
      <c r="C971" s="16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4"/>
      <c r="Q971" s="25"/>
    </row>
    <row r="972" spans="1:17" x14ac:dyDescent="0.15">
      <c r="A972" s="1"/>
      <c r="B972" s="16"/>
      <c r="C972" s="16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4"/>
      <c r="Q972" s="25"/>
    </row>
    <row r="973" spans="1:17" x14ac:dyDescent="0.15">
      <c r="A973" s="1"/>
      <c r="B973" s="16"/>
      <c r="C973" s="16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4"/>
      <c r="Q973" s="25"/>
    </row>
    <row r="974" spans="1:17" x14ac:dyDescent="0.15">
      <c r="A974" s="1"/>
      <c r="B974" s="16"/>
      <c r="C974" s="16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4"/>
      <c r="Q974" s="25"/>
    </row>
    <row r="975" spans="1:17" x14ac:dyDescent="0.15">
      <c r="A975" s="1"/>
      <c r="B975" s="16"/>
      <c r="C975" s="16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4"/>
      <c r="Q975" s="25"/>
    </row>
    <row r="976" spans="1:17" x14ac:dyDescent="0.15">
      <c r="A976" s="1"/>
      <c r="B976" s="16"/>
      <c r="C976" s="16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4"/>
      <c r="Q976" s="25"/>
    </row>
    <row r="977" spans="1:17" x14ac:dyDescent="0.15">
      <c r="A977" s="1"/>
      <c r="B977" s="16"/>
      <c r="C977" s="16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4"/>
      <c r="Q977" s="25"/>
    </row>
    <row r="978" spans="1:17" x14ac:dyDescent="0.15">
      <c r="A978" s="1"/>
      <c r="B978" s="16"/>
      <c r="C978" s="16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4"/>
      <c r="Q978" s="25"/>
    </row>
    <row r="979" spans="1:17" x14ac:dyDescent="0.15">
      <c r="A979" s="1"/>
      <c r="B979" s="16"/>
      <c r="C979" s="16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4"/>
      <c r="Q979" s="25"/>
    </row>
    <row r="980" spans="1:17" x14ac:dyDescent="0.15">
      <c r="A980" s="1"/>
      <c r="B980" s="16"/>
      <c r="C980" s="16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4"/>
      <c r="Q980" s="25"/>
    </row>
    <row r="981" spans="1:17" x14ac:dyDescent="0.15">
      <c r="A981" s="1"/>
      <c r="B981" s="16"/>
      <c r="C981" s="16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4"/>
      <c r="Q981" s="25"/>
    </row>
    <row r="982" spans="1:17" x14ac:dyDescent="0.15">
      <c r="A982" s="1"/>
      <c r="B982" s="16"/>
      <c r="C982" s="16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4"/>
      <c r="Q982" s="25"/>
    </row>
    <row r="983" spans="1:17" x14ac:dyDescent="0.15">
      <c r="A983" s="1"/>
      <c r="B983" s="16"/>
      <c r="C983" s="16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4"/>
      <c r="Q983" s="25"/>
    </row>
    <row r="984" spans="1:17" x14ac:dyDescent="0.15">
      <c r="A984" s="1"/>
      <c r="B984" s="16"/>
      <c r="C984" s="16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4"/>
      <c r="Q984" s="25"/>
    </row>
    <row r="985" spans="1:17" x14ac:dyDescent="0.15">
      <c r="A985" s="1"/>
      <c r="B985" s="16"/>
      <c r="C985" s="16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4"/>
      <c r="Q985" s="25"/>
    </row>
    <row r="986" spans="1:17" x14ac:dyDescent="0.15">
      <c r="A986" s="1"/>
      <c r="B986" s="16"/>
      <c r="C986" s="16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4"/>
      <c r="Q986" s="25"/>
    </row>
    <row r="987" spans="1:17" x14ac:dyDescent="0.15">
      <c r="A987" s="1"/>
      <c r="B987" s="16"/>
      <c r="C987" s="16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4"/>
      <c r="Q987" s="25"/>
    </row>
    <row r="988" spans="1:17" x14ac:dyDescent="0.15">
      <c r="A988" s="1"/>
      <c r="B988" s="16"/>
      <c r="C988" s="16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4"/>
      <c r="Q988" s="25"/>
    </row>
    <row r="989" spans="1:17" x14ac:dyDescent="0.15">
      <c r="A989" s="1"/>
      <c r="B989" s="16"/>
      <c r="C989" s="16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4"/>
      <c r="Q989" s="25"/>
    </row>
    <row r="990" spans="1:17" x14ac:dyDescent="0.15">
      <c r="A990" s="1"/>
      <c r="B990" s="16"/>
      <c r="C990" s="16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4"/>
      <c r="Q990" s="25"/>
    </row>
    <row r="991" spans="1:17" x14ac:dyDescent="0.15">
      <c r="A991" s="1"/>
      <c r="B991" s="16"/>
      <c r="C991" s="16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4"/>
      <c r="Q991" s="25"/>
    </row>
    <row r="992" spans="1:17" x14ac:dyDescent="0.15">
      <c r="A992" s="1"/>
      <c r="B992" s="16"/>
      <c r="C992" s="16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4"/>
      <c r="Q992" s="25"/>
    </row>
    <row r="993" spans="1:17" x14ac:dyDescent="0.15">
      <c r="A993" s="1"/>
      <c r="B993" s="16"/>
      <c r="C993" s="16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4"/>
      <c r="Q993" s="25"/>
    </row>
    <row r="994" spans="1:17" x14ac:dyDescent="0.15">
      <c r="A994" s="1"/>
      <c r="B994" s="16"/>
      <c r="C994" s="16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4"/>
      <c r="Q994" s="25"/>
    </row>
    <row r="995" spans="1:17" x14ac:dyDescent="0.15">
      <c r="A995" s="1"/>
      <c r="B995" s="16"/>
      <c r="C995" s="16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4"/>
      <c r="Q995" s="25"/>
    </row>
    <row r="996" spans="1:17" x14ac:dyDescent="0.15">
      <c r="A996" s="1"/>
      <c r="B996" s="16"/>
      <c r="C996" s="16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4"/>
      <c r="Q996" s="25"/>
    </row>
    <row r="997" spans="1:17" x14ac:dyDescent="0.15">
      <c r="A997" s="1"/>
      <c r="B997" s="16"/>
      <c r="C997" s="16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4"/>
      <c r="Q997" s="25"/>
    </row>
    <row r="998" spans="1:17" x14ac:dyDescent="0.15">
      <c r="A998" s="1"/>
      <c r="B998" s="16"/>
      <c r="C998" s="16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4"/>
      <c r="Q998" s="25"/>
    </row>
    <row r="999" spans="1:17" x14ac:dyDescent="0.15">
      <c r="A999" s="1"/>
      <c r="B999" s="16"/>
      <c r="C999" s="16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4"/>
      <c r="Q999" s="25"/>
    </row>
    <row r="1000" spans="1:17" ht="13" thickBot="1" x14ac:dyDescent="0.2">
      <c r="A1000" s="1"/>
      <c r="B1000" s="16"/>
      <c r="C1000" s="16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6"/>
      <c r="Q1000" s="37"/>
    </row>
    <row r="1001" spans="1:17" x14ac:dyDescent="0.15">
      <c r="B1001" s="16"/>
    </row>
    <row r="1002" spans="1:17" x14ac:dyDescent="0.15">
      <c r="B1002" s="16"/>
    </row>
    <row r="1003" spans="1:17" x14ac:dyDescent="0.15">
      <c r="B1003" s="16"/>
    </row>
    <row r="1004" spans="1:17" x14ac:dyDescent="0.15">
      <c r="B1004" s="16"/>
    </row>
    <row r="1005" spans="1:17" x14ac:dyDescent="0.15">
      <c r="B1005" s="16"/>
    </row>
    <row r="1006" spans="1:17" x14ac:dyDescent="0.15">
      <c r="B1006" s="16"/>
    </row>
    <row r="1007" spans="1:17" x14ac:dyDescent="0.15">
      <c r="B1007" s="16"/>
    </row>
    <row r="1008" spans="1:17" x14ac:dyDescent="0.15">
      <c r="B1008" s="16"/>
    </row>
    <row r="1009" spans="2:2" x14ac:dyDescent="0.15">
      <c r="B1009" s="16"/>
    </row>
    <row r="1010" spans="2:2" x14ac:dyDescent="0.15">
      <c r="B1010" s="16"/>
    </row>
    <row r="1011" spans="2:2" x14ac:dyDescent="0.15">
      <c r="B1011" s="16"/>
    </row>
    <row r="1012" spans="2:2" x14ac:dyDescent="0.15">
      <c r="B1012" s="16"/>
    </row>
    <row r="1013" spans="2:2" x14ac:dyDescent="0.15">
      <c r="B1013" s="16"/>
    </row>
    <row r="1014" spans="2:2" x14ac:dyDescent="0.15">
      <c r="B1014" s="16"/>
    </row>
    <row r="1015" spans="2:2" x14ac:dyDescent="0.15">
      <c r="B1015" s="16"/>
    </row>
    <row r="1016" spans="2:2" x14ac:dyDescent="0.15">
      <c r="B1016" s="16"/>
    </row>
    <row r="1017" spans="2:2" x14ac:dyDescent="0.15">
      <c r="B1017" s="16"/>
    </row>
    <row r="1018" spans="2:2" x14ac:dyDescent="0.15">
      <c r="B1018" s="16"/>
    </row>
    <row r="1019" spans="2:2" x14ac:dyDescent="0.15">
      <c r="B1019" s="16"/>
    </row>
  </sheetData>
  <mergeCells count="1">
    <mergeCell ref="B2:T2"/>
  </mergeCells>
  <dataValidations count="1">
    <dataValidation type="list" allowBlank="1" showInputMessage="1" showErrorMessage="1" sqref="P10 Q4:Q1000" xr:uid="{41121F34-DDFB-4C34-96F8-93AB2FE04DF9}">
      <formula1>$S$4:$S$37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Validation Lists | Graph Values</vt:lpstr>
      <vt:lpstr>QuickVal Proforma</vt:lpstr>
      <vt:lpstr>T12 Clean</vt:lpstr>
      <vt:lpstr>T12 Intake</vt:lpstr>
      <vt:lpstr>'QuickVal Proforma'!Print_Area</vt:lpstr>
      <vt:lpstr>'T12 Clean'!Print_Area</vt:lpstr>
      <vt:lpstr>Units</vt:lpstr>
    </vt:vector>
  </TitlesOfParts>
  <Company>Mesirow Financial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Cope, Connor</dc:creator>
  <cp:lastModifiedBy>Sam Miller</cp:lastModifiedBy>
  <cp:lastPrinted>2025-09-10T14:59:55Z</cp:lastPrinted>
  <dcterms:created xsi:type="dcterms:W3CDTF">2024-07-17T15:43:10Z</dcterms:created>
  <dcterms:modified xsi:type="dcterms:W3CDTF">2026-04-24T20:04:37Z</dcterms:modified>
</cp:coreProperties>
</file>